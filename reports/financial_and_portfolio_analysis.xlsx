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18B91085-2787-4E54-BFD0-7018F863CB8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Monthly Price &amp; Return Data" sheetId="2" r:id="rId1"/>
    <sheet name="ICIC Lombard " sheetId="3" r:id="rId2"/>
    <sheet name="SBI Life " sheetId="4" r:id="rId3"/>
    <sheet name="GIC Re" sheetId="5" r:id="rId4"/>
    <sheet name="Portfolio Analysis" sheetId="6" r:id="rId5"/>
    <sheet name="Profit &amp; Loss Account" sheetId="7" r:id="rId6"/>
    <sheet name="Ratio Analysis" sheetId="8" r:id="rId7"/>
    <sheet name="Balance Sheet" sheetId="9" r:id="rId8"/>
    <sheet name="Cash Flow Summary" sheetId="10" r:id="rId9"/>
    <sheet name="PIOTROSKI-SCORE" sheetId="11" r:id="rId10"/>
    <sheet name="__OpenSolverCache__" sheetId="12" state="hidden" r:id="rId11"/>
    <sheet name="__OpenSolver__" sheetId="13" state="hidden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11" l="1"/>
  <c r="C8" i="11"/>
  <c r="B8" i="11"/>
  <c r="D7" i="11"/>
  <c r="C7" i="11"/>
  <c r="B7" i="11"/>
  <c r="D6" i="11"/>
  <c r="D13" i="11" s="1"/>
  <c r="C6" i="11"/>
  <c r="C13" i="11" s="1"/>
  <c r="B6" i="11"/>
  <c r="B13" i="11" s="1"/>
  <c r="D5" i="11"/>
  <c r="C5" i="11"/>
  <c r="B5" i="11"/>
  <c r="D4" i="11"/>
  <c r="C4" i="11"/>
  <c r="D9" i="11" s="1"/>
  <c r="B4" i="11"/>
  <c r="D7" i="10"/>
  <c r="D9" i="10" s="1"/>
  <c r="C7" i="10"/>
  <c r="B7" i="10"/>
  <c r="B9" i="10" s="1"/>
  <c r="C8" i="10" s="1"/>
  <c r="D43" i="9"/>
  <c r="C43" i="9"/>
  <c r="F43" i="9" s="1"/>
  <c r="B43" i="9"/>
  <c r="E43" i="9" s="1"/>
  <c r="D42" i="9"/>
  <c r="C42" i="9"/>
  <c r="F42" i="9" s="1"/>
  <c r="B42" i="9"/>
  <c r="E42" i="9" s="1"/>
  <c r="D41" i="9"/>
  <c r="C41" i="9"/>
  <c r="F41" i="9" s="1"/>
  <c r="B41" i="9"/>
  <c r="E41" i="9" s="1"/>
  <c r="D40" i="9"/>
  <c r="C40" i="9"/>
  <c r="F40" i="9" s="1"/>
  <c r="B40" i="9"/>
  <c r="E40" i="9" s="1"/>
  <c r="D39" i="9"/>
  <c r="C39" i="9"/>
  <c r="F39" i="9" s="1"/>
  <c r="B39" i="9"/>
  <c r="E39" i="9" s="1"/>
  <c r="D38" i="9"/>
  <c r="C38" i="9"/>
  <c r="F38" i="9" s="1"/>
  <c r="B38" i="9"/>
  <c r="E38" i="9" s="1"/>
  <c r="D37" i="9"/>
  <c r="D57" i="9" s="1"/>
  <c r="C37" i="9"/>
  <c r="B37" i="9"/>
  <c r="D36" i="9"/>
  <c r="D56" i="9" s="1"/>
  <c r="C36" i="9"/>
  <c r="B36" i="9"/>
  <c r="D35" i="9"/>
  <c r="D55" i="9" s="1"/>
  <c r="C35" i="9"/>
  <c r="B35" i="9"/>
  <c r="D34" i="9"/>
  <c r="D54" i="9" s="1"/>
  <c r="C34" i="9"/>
  <c r="B34" i="9"/>
  <c r="E33" i="9"/>
  <c r="D33" i="9"/>
  <c r="C33" i="9"/>
  <c r="B33" i="9"/>
  <c r="D32" i="9"/>
  <c r="D52" i="9" s="1"/>
  <c r="C32" i="9"/>
  <c r="B32" i="9"/>
  <c r="D31" i="9"/>
  <c r="D51" i="9" s="1"/>
  <c r="C31" i="9"/>
  <c r="B31" i="9"/>
  <c r="D30" i="9"/>
  <c r="D50" i="9" s="1"/>
  <c r="C30" i="9"/>
  <c r="B30" i="9"/>
  <c r="D29" i="9"/>
  <c r="C29" i="9"/>
  <c r="F29" i="9" s="1"/>
  <c r="B29" i="9"/>
  <c r="E29" i="9" s="1"/>
  <c r="D28" i="9"/>
  <c r="C28" i="9"/>
  <c r="F28" i="9" s="1"/>
  <c r="B28" i="9"/>
  <c r="E28" i="9" s="1"/>
  <c r="D27" i="9"/>
  <c r="C27" i="9"/>
  <c r="F27" i="9" s="1"/>
  <c r="B27" i="9"/>
  <c r="E27" i="9" s="1"/>
  <c r="D21" i="9"/>
  <c r="C21" i="9"/>
  <c r="B21" i="9"/>
  <c r="D18" i="9"/>
  <c r="D22" i="9" s="1"/>
  <c r="C18" i="9"/>
  <c r="C22" i="9" s="1"/>
  <c r="B18" i="9"/>
  <c r="B22" i="9" s="1"/>
  <c r="D10" i="9"/>
  <c r="C10" i="9"/>
  <c r="B10" i="9"/>
  <c r="D9" i="8"/>
  <c r="C9" i="8"/>
  <c r="B9" i="8"/>
  <c r="D4" i="8"/>
  <c r="C4" i="8"/>
  <c r="D55" i="7"/>
  <c r="C55" i="7"/>
  <c r="D54" i="7"/>
  <c r="C54" i="7"/>
  <c r="D51" i="7"/>
  <c r="C51" i="7"/>
  <c r="D50" i="7"/>
  <c r="C50" i="7"/>
  <c r="D49" i="7"/>
  <c r="C49" i="7"/>
  <c r="D47" i="7"/>
  <c r="C47" i="7"/>
  <c r="D46" i="7"/>
  <c r="C46" i="7"/>
  <c r="D45" i="7"/>
  <c r="C45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5" i="7"/>
  <c r="C35" i="7"/>
  <c r="D34" i="7"/>
  <c r="C34" i="7"/>
  <c r="D33" i="7"/>
  <c r="C33" i="7"/>
  <c r="D23" i="7"/>
  <c r="C23" i="7"/>
  <c r="B23" i="7"/>
  <c r="D7" i="7"/>
  <c r="C7" i="7"/>
  <c r="B7" i="7"/>
  <c r="B57" i="6"/>
  <c r="D56" i="6"/>
  <c r="D55" i="6"/>
  <c r="D54" i="6"/>
  <c r="B45" i="6"/>
  <c r="D44" i="6"/>
  <c r="D43" i="6"/>
  <c r="D42" i="6"/>
  <c r="B32" i="6"/>
  <c r="D32" i="6" s="1"/>
  <c r="B31" i="6"/>
  <c r="D31" i="6" s="1"/>
  <c r="B30" i="6"/>
  <c r="D7" i="6"/>
  <c r="D8" i="6" s="1"/>
  <c r="C7" i="6"/>
  <c r="C8" i="6" s="1"/>
  <c r="B7" i="6"/>
  <c r="B8" i="6" s="1"/>
  <c r="M106" i="5"/>
  <c r="C106" i="5"/>
  <c r="M105" i="5"/>
  <c r="C105" i="5"/>
  <c r="M104" i="5"/>
  <c r="C104" i="5"/>
  <c r="M103" i="5"/>
  <c r="C103" i="5"/>
  <c r="M102" i="5"/>
  <c r="C102" i="5"/>
  <c r="M101" i="5"/>
  <c r="C101" i="5"/>
  <c r="M100" i="5"/>
  <c r="C100" i="5"/>
  <c r="M99" i="5"/>
  <c r="C99" i="5"/>
  <c r="M98" i="5"/>
  <c r="C98" i="5"/>
  <c r="M97" i="5"/>
  <c r="C97" i="5"/>
  <c r="M96" i="5"/>
  <c r="C96" i="5"/>
  <c r="M95" i="5"/>
  <c r="C95" i="5"/>
  <c r="M94" i="5"/>
  <c r="C94" i="5"/>
  <c r="M93" i="5"/>
  <c r="C93" i="5"/>
  <c r="M92" i="5"/>
  <c r="C92" i="5"/>
  <c r="M91" i="5"/>
  <c r="C91" i="5"/>
  <c r="M90" i="5"/>
  <c r="C90" i="5"/>
  <c r="M89" i="5"/>
  <c r="C89" i="5"/>
  <c r="M88" i="5"/>
  <c r="C88" i="5"/>
  <c r="M87" i="5"/>
  <c r="C87" i="5"/>
  <c r="M86" i="5"/>
  <c r="C86" i="5"/>
  <c r="M85" i="5"/>
  <c r="C85" i="5"/>
  <c r="M84" i="5"/>
  <c r="C84" i="5"/>
  <c r="M83" i="5"/>
  <c r="C83" i="5"/>
  <c r="M82" i="5"/>
  <c r="C82" i="5"/>
  <c r="M81" i="5"/>
  <c r="C81" i="5"/>
  <c r="M80" i="5"/>
  <c r="C80" i="5"/>
  <c r="M79" i="5"/>
  <c r="C79" i="5"/>
  <c r="M78" i="5"/>
  <c r="C78" i="5"/>
  <c r="M77" i="5"/>
  <c r="C77" i="5"/>
  <c r="M76" i="5"/>
  <c r="C76" i="5"/>
  <c r="M75" i="5"/>
  <c r="C75" i="5"/>
  <c r="M74" i="5"/>
  <c r="C74" i="5"/>
  <c r="M73" i="5"/>
  <c r="C73" i="5"/>
  <c r="M72" i="5"/>
  <c r="C72" i="5"/>
  <c r="M71" i="5"/>
  <c r="C71" i="5"/>
  <c r="M70" i="5"/>
  <c r="C70" i="5"/>
  <c r="M69" i="5"/>
  <c r="C69" i="5"/>
  <c r="M68" i="5"/>
  <c r="C68" i="5"/>
  <c r="M67" i="5"/>
  <c r="C67" i="5"/>
  <c r="M66" i="5"/>
  <c r="C66" i="5"/>
  <c r="M65" i="5"/>
  <c r="C65" i="5"/>
  <c r="M64" i="5"/>
  <c r="C64" i="5"/>
  <c r="M63" i="5"/>
  <c r="C63" i="5"/>
  <c r="M62" i="5"/>
  <c r="C62" i="5"/>
  <c r="M61" i="5"/>
  <c r="C61" i="5"/>
  <c r="M60" i="5"/>
  <c r="C60" i="5"/>
  <c r="M59" i="5"/>
  <c r="C59" i="5"/>
  <c r="M58" i="5"/>
  <c r="C58" i="5"/>
  <c r="M57" i="5"/>
  <c r="C57" i="5"/>
  <c r="M56" i="5"/>
  <c r="C56" i="5"/>
  <c r="M55" i="5"/>
  <c r="C55" i="5"/>
  <c r="M54" i="5"/>
  <c r="C54" i="5"/>
  <c r="M53" i="5"/>
  <c r="C53" i="5"/>
  <c r="M52" i="5"/>
  <c r="C52" i="5"/>
  <c r="M51" i="5"/>
  <c r="C51" i="5"/>
  <c r="M50" i="5"/>
  <c r="C50" i="5"/>
  <c r="M49" i="5"/>
  <c r="C49" i="5"/>
  <c r="M48" i="5"/>
  <c r="C48" i="5"/>
  <c r="M47" i="5"/>
  <c r="C47" i="5"/>
  <c r="M46" i="5"/>
  <c r="C46" i="5"/>
  <c r="M45" i="5"/>
  <c r="C45" i="5"/>
  <c r="M44" i="5"/>
  <c r="C44" i="5"/>
  <c r="M43" i="5"/>
  <c r="C43" i="5"/>
  <c r="M42" i="5"/>
  <c r="C42" i="5"/>
  <c r="M41" i="5"/>
  <c r="C41" i="5"/>
  <c r="M40" i="5"/>
  <c r="C40" i="5"/>
  <c r="M39" i="5"/>
  <c r="C39" i="5"/>
  <c r="M38" i="5"/>
  <c r="C38" i="5"/>
  <c r="M37" i="5"/>
  <c r="C37" i="5"/>
  <c r="M36" i="5"/>
  <c r="C36" i="5"/>
  <c r="M35" i="5"/>
  <c r="C35" i="5"/>
  <c r="M34" i="5"/>
  <c r="C34" i="5"/>
  <c r="M33" i="5"/>
  <c r="C33" i="5"/>
  <c r="M32" i="5"/>
  <c r="C32" i="5"/>
  <c r="M31" i="5"/>
  <c r="C31" i="5"/>
  <c r="M30" i="5"/>
  <c r="C30" i="5"/>
  <c r="M29" i="5"/>
  <c r="C29" i="5"/>
  <c r="M28" i="5"/>
  <c r="C28" i="5"/>
  <c r="M27" i="5"/>
  <c r="C27" i="5"/>
  <c r="M26" i="5"/>
  <c r="C26" i="5"/>
  <c r="M25" i="5"/>
  <c r="C25" i="5"/>
  <c r="M24" i="5"/>
  <c r="C24" i="5"/>
  <c r="M23" i="5"/>
  <c r="C23" i="5"/>
  <c r="M22" i="5"/>
  <c r="C22" i="5"/>
  <c r="M21" i="5"/>
  <c r="C21" i="5"/>
  <c r="M20" i="5"/>
  <c r="C20" i="5"/>
  <c r="M19" i="5"/>
  <c r="C19" i="5"/>
  <c r="M18" i="5"/>
  <c r="C18" i="5"/>
  <c r="M17" i="5"/>
  <c r="C17" i="5"/>
  <c r="M16" i="5"/>
  <c r="C16" i="5"/>
  <c r="M15" i="5"/>
  <c r="C15" i="5"/>
  <c r="M14" i="5"/>
  <c r="C14" i="5"/>
  <c r="M13" i="5"/>
  <c r="C13" i="5"/>
  <c r="M12" i="5"/>
  <c r="C12" i="5"/>
  <c r="M11" i="5"/>
  <c r="C11" i="5"/>
  <c r="M10" i="5"/>
  <c r="C10" i="5"/>
  <c r="M9" i="5"/>
  <c r="C9" i="5"/>
  <c r="M8" i="5"/>
  <c r="C8" i="5"/>
  <c r="M7" i="5"/>
  <c r="C7" i="5"/>
  <c r="M6" i="5"/>
  <c r="C6" i="5"/>
  <c r="M5" i="5"/>
  <c r="E5" i="5"/>
  <c r="E6" i="5" s="1"/>
  <c r="C5" i="5"/>
  <c r="M4" i="5"/>
  <c r="C4" i="5"/>
  <c r="Q3" i="5"/>
  <c r="M3" i="5"/>
  <c r="E3" i="5"/>
  <c r="E4" i="5" s="1"/>
  <c r="C3" i="5"/>
  <c r="Q2" i="5"/>
  <c r="Q4" i="5" s="1"/>
  <c r="Q8" i="5" s="1"/>
  <c r="M106" i="4"/>
  <c r="C106" i="4"/>
  <c r="M105" i="4"/>
  <c r="C105" i="4"/>
  <c r="M104" i="4"/>
  <c r="C104" i="4"/>
  <c r="M103" i="4"/>
  <c r="C103" i="4"/>
  <c r="M102" i="4"/>
  <c r="C102" i="4"/>
  <c r="M101" i="4"/>
  <c r="C101" i="4"/>
  <c r="M100" i="4"/>
  <c r="C100" i="4"/>
  <c r="M99" i="4"/>
  <c r="C99" i="4"/>
  <c r="M98" i="4"/>
  <c r="C98" i="4"/>
  <c r="M97" i="4"/>
  <c r="C97" i="4"/>
  <c r="M96" i="4"/>
  <c r="C96" i="4"/>
  <c r="M95" i="4"/>
  <c r="C95" i="4"/>
  <c r="M94" i="4"/>
  <c r="C94" i="4"/>
  <c r="M93" i="4"/>
  <c r="C93" i="4"/>
  <c r="M92" i="4"/>
  <c r="C92" i="4"/>
  <c r="M91" i="4"/>
  <c r="C91" i="4"/>
  <c r="M90" i="4"/>
  <c r="C90" i="4"/>
  <c r="M89" i="4"/>
  <c r="C89" i="4"/>
  <c r="M88" i="4"/>
  <c r="C88" i="4"/>
  <c r="M87" i="4"/>
  <c r="C87" i="4"/>
  <c r="M86" i="4"/>
  <c r="C86" i="4"/>
  <c r="M85" i="4"/>
  <c r="C85" i="4"/>
  <c r="M84" i="4"/>
  <c r="C84" i="4"/>
  <c r="M83" i="4"/>
  <c r="C83" i="4"/>
  <c r="M82" i="4"/>
  <c r="C82" i="4"/>
  <c r="M81" i="4"/>
  <c r="C81" i="4"/>
  <c r="M80" i="4"/>
  <c r="C80" i="4"/>
  <c r="M79" i="4"/>
  <c r="C79" i="4"/>
  <c r="M78" i="4"/>
  <c r="C78" i="4"/>
  <c r="M77" i="4"/>
  <c r="C77" i="4"/>
  <c r="M76" i="4"/>
  <c r="C76" i="4"/>
  <c r="M75" i="4"/>
  <c r="C75" i="4"/>
  <c r="M74" i="4"/>
  <c r="C74" i="4"/>
  <c r="M73" i="4"/>
  <c r="C73" i="4"/>
  <c r="M72" i="4"/>
  <c r="C72" i="4"/>
  <c r="M71" i="4"/>
  <c r="C71" i="4"/>
  <c r="M70" i="4"/>
  <c r="C70" i="4"/>
  <c r="M69" i="4"/>
  <c r="C69" i="4"/>
  <c r="M68" i="4"/>
  <c r="C68" i="4"/>
  <c r="M67" i="4"/>
  <c r="C67" i="4"/>
  <c r="M66" i="4"/>
  <c r="C66" i="4"/>
  <c r="M65" i="4"/>
  <c r="C65" i="4"/>
  <c r="M64" i="4"/>
  <c r="C64" i="4"/>
  <c r="M63" i="4"/>
  <c r="C63" i="4"/>
  <c r="M62" i="4"/>
  <c r="C62" i="4"/>
  <c r="M61" i="4"/>
  <c r="C61" i="4"/>
  <c r="M60" i="4"/>
  <c r="C60" i="4"/>
  <c r="M59" i="4"/>
  <c r="C59" i="4"/>
  <c r="M58" i="4"/>
  <c r="C58" i="4"/>
  <c r="M57" i="4"/>
  <c r="C57" i="4"/>
  <c r="M56" i="4"/>
  <c r="C56" i="4"/>
  <c r="M55" i="4"/>
  <c r="C55" i="4"/>
  <c r="M54" i="4"/>
  <c r="C54" i="4"/>
  <c r="M53" i="4"/>
  <c r="C53" i="4"/>
  <c r="M52" i="4"/>
  <c r="C52" i="4"/>
  <c r="M51" i="4"/>
  <c r="C51" i="4"/>
  <c r="M50" i="4"/>
  <c r="C50" i="4"/>
  <c r="M49" i="4"/>
  <c r="C49" i="4"/>
  <c r="M48" i="4"/>
  <c r="C48" i="4"/>
  <c r="M47" i="4"/>
  <c r="C47" i="4"/>
  <c r="M46" i="4"/>
  <c r="C46" i="4"/>
  <c r="M45" i="4"/>
  <c r="C45" i="4"/>
  <c r="M44" i="4"/>
  <c r="C44" i="4"/>
  <c r="M43" i="4"/>
  <c r="C43" i="4"/>
  <c r="M42" i="4"/>
  <c r="C42" i="4"/>
  <c r="M41" i="4"/>
  <c r="C41" i="4"/>
  <c r="M40" i="4"/>
  <c r="C40" i="4"/>
  <c r="M39" i="4"/>
  <c r="C39" i="4"/>
  <c r="M38" i="4"/>
  <c r="C38" i="4"/>
  <c r="M37" i="4"/>
  <c r="C37" i="4"/>
  <c r="M36" i="4"/>
  <c r="C36" i="4"/>
  <c r="M35" i="4"/>
  <c r="C35" i="4"/>
  <c r="M34" i="4"/>
  <c r="C34" i="4"/>
  <c r="M33" i="4"/>
  <c r="C33" i="4"/>
  <c r="M32" i="4"/>
  <c r="C32" i="4"/>
  <c r="M31" i="4"/>
  <c r="C31" i="4"/>
  <c r="M30" i="4"/>
  <c r="C30" i="4"/>
  <c r="M29" i="4"/>
  <c r="C29" i="4"/>
  <c r="M28" i="4"/>
  <c r="C28" i="4"/>
  <c r="M27" i="4"/>
  <c r="C27" i="4"/>
  <c r="M26" i="4"/>
  <c r="C26" i="4"/>
  <c r="M25" i="4"/>
  <c r="C25" i="4"/>
  <c r="M24" i="4"/>
  <c r="C24" i="4"/>
  <c r="M23" i="4"/>
  <c r="C23" i="4"/>
  <c r="M22" i="4"/>
  <c r="C22" i="4"/>
  <c r="M21" i="4"/>
  <c r="C21" i="4"/>
  <c r="M20" i="4"/>
  <c r="C20" i="4"/>
  <c r="M19" i="4"/>
  <c r="C19" i="4"/>
  <c r="M18" i="4"/>
  <c r="C18" i="4"/>
  <c r="M17" i="4"/>
  <c r="C17" i="4"/>
  <c r="M16" i="4"/>
  <c r="C16" i="4"/>
  <c r="M15" i="4"/>
  <c r="C15" i="4"/>
  <c r="M14" i="4"/>
  <c r="C14" i="4"/>
  <c r="M13" i="4"/>
  <c r="C13" i="4"/>
  <c r="M12" i="4"/>
  <c r="C12" i="4"/>
  <c r="M11" i="4"/>
  <c r="C11" i="4"/>
  <c r="M10" i="4"/>
  <c r="C10" i="4"/>
  <c r="M9" i="4"/>
  <c r="C9" i="4"/>
  <c r="M8" i="4"/>
  <c r="C8" i="4"/>
  <c r="M7" i="4"/>
  <c r="C7" i="4"/>
  <c r="M6" i="4"/>
  <c r="C6" i="4"/>
  <c r="M5" i="4"/>
  <c r="E5" i="4"/>
  <c r="E6" i="4" s="1"/>
  <c r="C5" i="4"/>
  <c r="M4" i="4"/>
  <c r="C4" i="4"/>
  <c r="Q3" i="4"/>
  <c r="M3" i="4"/>
  <c r="E3" i="4"/>
  <c r="E4" i="4" s="1"/>
  <c r="C3" i="4"/>
  <c r="Q2" i="4"/>
  <c r="Q4" i="4" s="1"/>
  <c r="Q8" i="4" s="1"/>
  <c r="M107" i="3"/>
  <c r="C107" i="3"/>
  <c r="M106" i="3"/>
  <c r="C106" i="3"/>
  <c r="M105" i="3"/>
  <c r="C105" i="3"/>
  <c r="M104" i="3"/>
  <c r="C104" i="3"/>
  <c r="M103" i="3"/>
  <c r="C103" i="3"/>
  <c r="M102" i="3"/>
  <c r="C102" i="3"/>
  <c r="M101" i="3"/>
  <c r="C101" i="3"/>
  <c r="M100" i="3"/>
  <c r="C100" i="3"/>
  <c r="M99" i="3"/>
  <c r="C99" i="3"/>
  <c r="M98" i="3"/>
  <c r="C98" i="3"/>
  <c r="M97" i="3"/>
  <c r="C97" i="3"/>
  <c r="M96" i="3"/>
  <c r="C96" i="3"/>
  <c r="M95" i="3"/>
  <c r="C95" i="3"/>
  <c r="M94" i="3"/>
  <c r="C94" i="3"/>
  <c r="M93" i="3"/>
  <c r="C93" i="3"/>
  <c r="M92" i="3"/>
  <c r="C92" i="3"/>
  <c r="M91" i="3"/>
  <c r="C91" i="3"/>
  <c r="M90" i="3"/>
  <c r="C90" i="3"/>
  <c r="M89" i="3"/>
  <c r="C89" i="3"/>
  <c r="M88" i="3"/>
  <c r="C88" i="3"/>
  <c r="M87" i="3"/>
  <c r="C87" i="3"/>
  <c r="M86" i="3"/>
  <c r="C86" i="3"/>
  <c r="M85" i="3"/>
  <c r="C85" i="3"/>
  <c r="M84" i="3"/>
  <c r="C84" i="3"/>
  <c r="M83" i="3"/>
  <c r="C83" i="3"/>
  <c r="M82" i="3"/>
  <c r="C82" i="3"/>
  <c r="M81" i="3"/>
  <c r="C81" i="3"/>
  <c r="M80" i="3"/>
  <c r="C80" i="3"/>
  <c r="M79" i="3"/>
  <c r="C79" i="3"/>
  <c r="M78" i="3"/>
  <c r="C78" i="3"/>
  <c r="M77" i="3"/>
  <c r="C77" i="3"/>
  <c r="M76" i="3"/>
  <c r="C76" i="3"/>
  <c r="M75" i="3"/>
  <c r="C75" i="3"/>
  <c r="M74" i="3"/>
  <c r="C74" i="3"/>
  <c r="M73" i="3"/>
  <c r="C73" i="3"/>
  <c r="M72" i="3"/>
  <c r="C72" i="3"/>
  <c r="M71" i="3"/>
  <c r="C71" i="3"/>
  <c r="M70" i="3"/>
  <c r="C70" i="3"/>
  <c r="M69" i="3"/>
  <c r="C69" i="3"/>
  <c r="M68" i="3"/>
  <c r="C68" i="3"/>
  <c r="M67" i="3"/>
  <c r="C67" i="3"/>
  <c r="M66" i="3"/>
  <c r="C66" i="3"/>
  <c r="M65" i="3"/>
  <c r="C65" i="3"/>
  <c r="M64" i="3"/>
  <c r="C64" i="3"/>
  <c r="M63" i="3"/>
  <c r="C63" i="3"/>
  <c r="M62" i="3"/>
  <c r="C62" i="3"/>
  <c r="M61" i="3"/>
  <c r="C61" i="3"/>
  <c r="M60" i="3"/>
  <c r="C60" i="3"/>
  <c r="M59" i="3"/>
  <c r="C59" i="3"/>
  <c r="M58" i="3"/>
  <c r="C58" i="3"/>
  <c r="M57" i="3"/>
  <c r="C57" i="3"/>
  <c r="M56" i="3"/>
  <c r="C56" i="3"/>
  <c r="M55" i="3"/>
  <c r="C55" i="3"/>
  <c r="M54" i="3"/>
  <c r="C54" i="3"/>
  <c r="M53" i="3"/>
  <c r="C53" i="3"/>
  <c r="M52" i="3"/>
  <c r="C52" i="3"/>
  <c r="M51" i="3"/>
  <c r="C51" i="3"/>
  <c r="M50" i="3"/>
  <c r="C50" i="3"/>
  <c r="M49" i="3"/>
  <c r="C49" i="3"/>
  <c r="M48" i="3"/>
  <c r="C48" i="3"/>
  <c r="M47" i="3"/>
  <c r="C47" i="3"/>
  <c r="M46" i="3"/>
  <c r="C46" i="3"/>
  <c r="M45" i="3"/>
  <c r="C45" i="3"/>
  <c r="M44" i="3"/>
  <c r="C44" i="3"/>
  <c r="M43" i="3"/>
  <c r="C43" i="3"/>
  <c r="M42" i="3"/>
  <c r="C42" i="3"/>
  <c r="M41" i="3"/>
  <c r="C41" i="3"/>
  <c r="M40" i="3"/>
  <c r="C40" i="3"/>
  <c r="M39" i="3"/>
  <c r="C39" i="3"/>
  <c r="M38" i="3"/>
  <c r="C38" i="3"/>
  <c r="M37" i="3"/>
  <c r="C37" i="3"/>
  <c r="M36" i="3"/>
  <c r="C36" i="3"/>
  <c r="M35" i="3"/>
  <c r="C35" i="3"/>
  <c r="M34" i="3"/>
  <c r="C34" i="3"/>
  <c r="M33" i="3"/>
  <c r="C33" i="3"/>
  <c r="M32" i="3"/>
  <c r="C32" i="3"/>
  <c r="M31" i="3"/>
  <c r="C31" i="3"/>
  <c r="M30" i="3"/>
  <c r="C30" i="3"/>
  <c r="M29" i="3"/>
  <c r="C29" i="3"/>
  <c r="M28" i="3"/>
  <c r="C28" i="3"/>
  <c r="M27" i="3"/>
  <c r="C27" i="3"/>
  <c r="M26" i="3"/>
  <c r="C26" i="3"/>
  <c r="M25" i="3"/>
  <c r="C25" i="3"/>
  <c r="M24" i="3"/>
  <c r="C24" i="3"/>
  <c r="M23" i="3"/>
  <c r="C23" i="3"/>
  <c r="M22" i="3"/>
  <c r="C22" i="3"/>
  <c r="M21" i="3"/>
  <c r="C21" i="3"/>
  <c r="M20" i="3"/>
  <c r="C20" i="3"/>
  <c r="M19" i="3"/>
  <c r="C19" i="3"/>
  <c r="M18" i="3"/>
  <c r="C18" i="3"/>
  <c r="M17" i="3"/>
  <c r="C17" i="3"/>
  <c r="M16" i="3"/>
  <c r="C16" i="3"/>
  <c r="M15" i="3"/>
  <c r="C15" i="3"/>
  <c r="M14" i="3"/>
  <c r="C14" i="3"/>
  <c r="M13" i="3"/>
  <c r="C13" i="3"/>
  <c r="M12" i="3"/>
  <c r="C12" i="3"/>
  <c r="M11" i="3"/>
  <c r="C11" i="3"/>
  <c r="M10" i="3"/>
  <c r="C10" i="3"/>
  <c r="M9" i="3"/>
  <c r="C9" i="3"/>
  <c r="M8" i="3"/>
  <c r="C8" i="3"/>
  <c r="M7" i="3"/>
  <c r="C7" i="3"/>
  <c r="M6" i="3"/>
  <c r="C6" i="3"/>
  <c r="M5" i="3"/>
  <c r="E5" i="3"/>
  <c r="E6" i="3" s="1"/>
  <c r="C5" i="3"/>
  <c r="M4" i="3"/>
  <c r="C4" i="3"/>
  <c r="Q3" i="3"/>
  <c r="M3" i="3"/>
  <c r="E3" i="3"/>
  <c r="E4" i="3" s="1"/>
  <c r="C3" i="3"/>
  <c r="Q2" i="3"/>
  <c r="Q4" i="3" s="1"/>
  <c r="Q8" i="3" s="1"/>
  <c r="I106" i="2"/>
  <c r="G106" i="2"/>
  <c r="E106" i="2"/>
  <c r="C106" i="2"/>
  <c r="I105" i="2"/>
  <c r="G105" i="2"/>
  <c r="E105" i="2"/>
  <c r="C105" i="2"/>
  <c r="I104" i="2"/>
  <c r="G104" i="2"/>
  <c r="E104" i="2"/>
  <c r="C104" i="2"/>
  <c r="I103" i="2"/>
  <c r="G103" i="2"/>
  <c r="E103" i="2"/>
  <c r="C103" i="2"/>
  <c r="I102" i="2"/>
  <c r="G102" i="2"/>
  <c r="E102" i="2"/>
  <c r="C102" i="2"/>
  <c r="I101" i="2"/>
  <c r="G101" i="2"/>
  <c r="E101" i="2"/>
  <c r="C101" i="2"/>
  <c r="I100" i="2"/>
  <c r="G100" i="2"/>
  <c r="E100" i="2"/>
  <c r="C100" i="2"/>
  <c r="I99" i="2"/>
  <c r="G99" i="2"/>
  <c r="E99" i="2"/>
  <c r="C99" i="2"/>
  <c r="I98" i="2"/>
  <c r="G98" i="2"/>
  <c r="E98" i="2"/>
  <c r="C98" i="2"/>
  <c r="I97" i="2"/>
  <c r="G97" i="2"/>
  <c r="E97" i="2"/>
  <c r="C97" i="2"/>
  <c r="I96" i="2"/>
  <c r="G96" i="2"/>
  <c r="E96" i="2"/>
  <c r="C96" i="2"/>
  <c r="I95" i="2"/>
  <c r="G95" i="2"/>
  <c r="E95" i="2"/>
  <c r="C95" i="2"/>
  <c r="I94" i="2"/>
  <c r="G94" i="2"/>
  <c r="E94" i="2"/>
  <c r="C94" i="2"/>
  <c r="I93" i="2"/>
  <c r="G93" i="2"/>
  <c r="E93" i="2"/>
  <c r="C93" i="2"/>
  <c r="I92" i="2"/>
  <c r="G92" i="2"/>
  <c r="E92" i="2"/>
  <c r="C92" i="2"/>
  <c r="I91" i="2"/>
  <c r="G91" i="2"/>
  <c r="E91" i="2"/>
  <c r="C91" i="2"/>
  <c r="I90" i="2"/>
  <c r="G90" i="2"/>
  <c r="E90" i="2"/>
  <c r="C90" i="2"/>
  <c r="I89" i="2"/>
  <c r="G89" i="2"/>
  <c r="E89" i="2"/>
  <c r="C89" i="2"/>
  <c r="I88" i="2"/>
  <c r="G88" i="2"/>
  <c r="E88" i="2"/>
  <c r="C88" i="2"/>
  <c r="I87" i="2"/>
  <c r="G87" i="2"/>
  <c r="E87" i="2"/>
  <c r="C87" i="2"/>
  <c r="I86" i="2"/>
  <c r="G86" i="2"/>
  <c r="E86" i="2"/>
  <c r="C86" i="2"/>
  <c r="I85" i="2"/>
  <c r="G85" i="2"/>
  <c r="E85" i="2"/>
  <c r="C85" i="2"/>
  <c r="I84" i="2"/>
  <c r="G84" i="2"/>
  <c r="E84" i="2"/>
  <c r="C84" i="2"/>
  <c r="I83" i="2"/>
  <c r="G83" i="2"/>
  <c r="E83" i="2"/>
  <c r="C83" i="2"/>
  <c r="I82" i="2"/>
  <c r="G82" i="2"/>
  <c r="E82" i="2"/>
  <c r="C82" i="2"/>
  <c r="I81" i="2"/>
  <c r="G81" i="2"/>
  <c r="E81" i="2"/>
  <c r="C81" i="2"/>
  <c r="I80" i="2"/>
  <c r="G80" i="2"/>
  <c r="E80" i="2"/>
  <c r="C80" i="2"/>
  <c r="I79" i="2"/>
  <c r="G79" i="2"/>
  <c r="E79" i="2"/>
  <c r="C79" i="2"/>
  <c r="I78" i="2"/>
  <c r="G78" i="2"/>
  <c r="E78" i="2"/>
  <c r="C78" i="2"/>
  <c r="I77" i="2"/>
  <c r="G77" i="2"/>
  <c r="E77" i="2"/>
  <c r="C77" i="2"/>
  <c r="I76" i="2"/>
  <c r="G76" i="2"/>
  <c r="E76" i="2"/>
  <c r="C76" i="2"/>
  <c r="I75" i="2"/>
  <c r="G75" i="2"/>
  <c r="E75" i="2"/>
  <c r="C75" i="2"/>
  <c r="I74" i="2"/>
  <c r="G74" i="2"/>
  <c r="E74" i="2"/>
  <c r="C74" i="2"/>
  <c r="I73" i="2"/>
  <c r="G73" i="2"/>
  <c r="E73" i="2"/>
  <c r="C73" i="2"/>
  <c r="I72" i="2"/>
  <c r="G72" i="2"/>
  <c r="E72" i="2"/>
  <c r="C72" i="2"/>
  <c r="I71" i="2"/>
  <c r="E7" i="6" s="1"/>
  <c r="E8" i="6" s="1"/>
  <c r="G71" i="2"/>
  <c r="E71" i="2"/>
  <c r="C71" i="2"/>
  <c r="I70" i="2"/>
  <c r="G70" i="2"/>
  <c r="E70" i="2"/>
  <c r="C70" i="2"/>
  <c r="I69" i="2"/>
  <c r="G69" i="2"/>
  <c r="E69" i="2"/>
  <c r="C69" i="2"/>
  <c r="I68" i="2"/>
  <c r="G68" i="2"/>
  <c r="E68" i="2"/>
  <c r="C68" i="2"/>
  <c r="I67" i="2"/>
  <c r="G67" i="2"/>
  <c r="E67" i="2"/>
  <c r="C67" i="2"/>
  <c r="I66" i="2"/>
  <c r="G66" i="2"/>
  <c r="E66" i="2"/>
  <c r="C66" i="2"/>
  <c r="I65" i="2"/>
  <c r="G65" i="2"/>
  <c r="E65" i="2"/>
  <c r="C65" i="2"/>
  <c r="I64" i="2"/>
  <c r="G64" i="2"/>
  <c r="E64" i="2"/>
  <c r="C64" i="2"/>
  <c r="I63" i="2"/>
  <c r="G63" i="2"/>
  <c r="E63" i="2"/>
  <c r="C63" i="2"/>
  <c r="I62" i="2"/>
  <c r="G62" i="2"/>
  <c r="E62" i="2"/>
  <c r="C62" i="2"/>
  <c r="I61" i="2"/>
  <c r="G61" i="2"/>
  <c r="E61" i="2"/>
  <c r="C61" i="2"/>
  <c r="I60" i="2"/>
  <c r="G60" i="2"/>
  <c r="E60" i="2"/>
  <c r="C60" i="2"/>
  <c r="I59" i="2"/>
  <c r="G59" i="2"/>
  <c r="E59" i="2"/>
  <c r="C59" i="2"/>
  <c r="I58" i="2"/>
  <c r="G58" i="2"/>
  <c r="E58" i="2"/>
  <c r="C58" i="2"/>
  <c r="I57" i="2"/>
  <c r="G57" i="2"/>
  <c r="E57" i="2"/>
  <c r="C57" i="2"/>
  <c r="I56" i="2"/>
  <c r="G56" i="2"/>
  <c r="E56" i="2"/>
  <c r="C56" i="2"/>
  <c r="I55" i="2"/>
  <c r="G55" i="2"/>
  <c r="E55" i="2"/>
  <c r="C55" i="2"/>
  <c r="I54" i="2"/>
  <c r="G54" i="2"/>
  <c r="E54" i="2"/>
  <c r="C54" i="2"/>
  <c r="I53" i="2"/>
  <c r="G53" i="2"/>
  <c r="E53" i="2"/>
  <c r="C53" i="2"/>
  <c r="I52" i="2"/>
  <c r="G52" i="2"/>
  <c r="E52" i="2"/>
  <c r="C52" i="2"/>
  <c r="I51" i="2"/>
  <c r="G51" i="2"/>
  <c r="E51" i="2"/>
  <c r="C51" i="2"/>
  <c r="I50" i="2"/>
  <c r="G50" i="2"/>
  <c r="E50" i="2"/>
  <c r="C50" i="2"/>
  <c r="I49" i="2"/>
  <c r="G49" i="2"/>
  <c r="E49" i="2"/>
  <c r="C49" i="2"/>
  <c r="I48" i="2"/>
  <c r="G48" i="2"/>
  <c r="E48" i="2"/>
  <c r="C48" i="2"/>
  <c r="I47" i="2"/>
  <c r="G47" i="2"/>
  <c r="E47" i="2"/>
  <c r="C47" i="2"/>
  <c r="I46" i="2"/>
  <c r="G46" i="2"/>
  <c r="E46" i="2"/>
  <c r="C46" i="2"/>
  <c r="I45" i="2"/>
  <c r="G45" i="2"/>
  <c r="E45" i="2"/>
  <c r="C45" i="2"/>
  <c r="I44" i="2"/>
  <c r="G44" i="2"/>
  <c r="E44" i="2"/>
  <c r="C44" i="2"/>
  <c r="I43" i="2"/>
  <c r="G43" i="2"/>
  <c r="E43" i="2"/>
  <c r="C43" i="2"/>
  <c r="I42" i="2"/>
  <c r="G42" i="2"/>
  <c r="E42" i="2"/>
  <c r="C42" i="2"/>
  <c r="I41" i="2"/>
  <c r="G41" i="2"/>
  <c r="E41" i="2"/>
  <c r="C41" i="2"/>
  <c r="I40" i="2"/>
  <c r="G40" i="2"/>
  <c r="E40" i="2"/>
  <c r="C40" i="2"/>
  <c r="I39" i="2"/>
  <c r="G39" i="2"/>
  <c r="E39" i="2"/>
  <c r="C39" i="2"/>
  <c r="I38" i="2"/>
  <c r="G38" i="2"/>
  <c r="E38" i="2"/>
  <c r="C38" i="2"/>
  <c r="I37" i="2"/>
  <c r="G37" i="2"/>
  <c r="E37" i="2"/>
  <c r="C37" i="2"/>
  <c r="I36" i="2"/>
  <c r="G36" i="2"/>
  <c r="E36" i="2"/>
  <c r="C36" i="2"/>
  <c r="I35" i="2"/>
  <c r="G35" i="2"/>
  <c r="E35" i="2"/>
  <c r="C35" i="2"/>
  <c r="I34" i="2"/>
  <c r="G34" i="2"/>
  <c r="E34" i="2"/>
  <c r="C34" i="2"/>
  <c r="I33" i="2"/>
  <c r="G33" i="2"/>
  <c r="E33" i="2"/>
  <c r="C33" i="2"/>
  <c r="I32" i="2"/>
  <c r="G32" i="2"/>
  <c r="E32" i="2"/>
  <c r="C32" i="2"/>
  <c r="I31" i="2"/>
  <c r="G31" i="2"/>
  <c r="E31" i="2"/>
  <c r="C31" i="2"/>
  <c r="I30" i="2"/>
  <c r="G30" i="2"/>
  <c r="E30" i="2"/>
  <c r="C30" i="2"/>
  <c r="I29" i="2"/>
  <c r="G29" i="2"/>
  <c r="E29" i="2"/>
  <c r="C29" i="2"/>
  <c r="I28" i="2"/>
  <c r="G28" i="2"/>
  <c r="E28" i="2"/>
  <c r="C28" i="2"/>
  <c r="I27" i="2"/>
  <c r="G27" i="2"/>
  <c r="E27" i="2"/>
  <c r="C27" i="2"/>
  <c r="I26" i="2"/>
  <c r="G26" i="2"/>
  <c r="E26" i="2"/>
  <c r="C26" i="2"/>
  <c r="I25" i="2"/>
  <c r="G25" i="2"/>
  <c r="E25" i="2"/>
  <c r="C25" i="2"/>
  <c r="I24" i="2"/>
  <c r="G24" i="2"/>
  <c r="E24" i="2"/>
  <c r="C24" i="2"/>
  <c r="I23" i="2"/>
  <c r="G23" i="2"/>
  <c r="E23" i="2"/>
  <c r="C23" i="2"/>
  <c r="I22" i="2"/>
  <c r="G22" i="2"/>
  <c r="E22" i="2"/>
  <c r="C22" i="2"/>
  <c r="I21" i="2"/>
  <c r="G21" i="2"/>
  <c r="E21" i="2"/>
  <c r="C21" i="2"/>
  <c r="I20" i="2"/>
  <c r="G20" i="2"/>
  <c r="E20" i="2"/>
  <c r="C20" i="2"/>
  <c r="I19" i="2"/>
  <c r="G19" i="2"/>
  <c r="E19" i="2"/>
  <c r="C19" i="2"/>
  <c r="I18" i="2"/>
  <c r="G18" i="2"/>
  <c r="E18" i="2"/>
  <c r="C18" i="2"/>
  <c r="I17" i="2"/>
  <c r="G17" i="2"/>
  <c r="E17" i="2"/>
  <c r="C17" i="2"/>
  <c r="I16" i="2"/>
  <c r="G16" i="2"/>
  <c r="E16" i="2"/>
  <c r="C16" i="2"/>
  <c r="I15" i="2"/>
  <c r="G15" i="2"/>
  <c r="E15" i="2"/>
  <c r="C15" i="2"/>
  <c r="I14" i="2"/>
  <c r="G14" i="2"/>
  <c r="E14" i="2"/>
  <c r="C14" i="2"/>
  <c r="I13" i="2"/>
  <c r="G13" i="2"/>
  <c r="E13" i="2"/>
  <c r="C13" i="2"/>
  <c r="I12" i="2"/>
  <c r="G12" i="2"/>
  <c r="E12" i="2"/>
  <c r="C12" i="2"/>
  <c r="I11" i="2"/>
  <c r="G11" i="2"/>
  <c r="E11" i="2"/>
  <c r="C11" i="2"/>
  <c r="I10" i="2"/>
  <c r="G10" i="2"/>
  <c r="E10" i="2"/>
  <c r="C10" i="2"/>
  <c r="I9" i="2"/>
  <c r="G9" i="2"/>
  <c r="E9" i="2"/>
  <c r="C9" i="2"/>
  <c r="I8" i="2"/>
  <c r="G8" i="2"/>
  <c r="E8" i="2"/>
  <c r="C8" i="2"/>
  <c r="I7" i="2"/>
  <c r="G7" i="2"/>
  <c r="E7" i="2"/>
  <c r="C7" i="2"/>
  <c r="I6" i="2"/>
  <c r="G6" i="2"/>
  <c r="E6" i="2"/>
  <c r="C6" i="2"/>
  <c r="I5" i="2"/>
  <c r="G5" i="2"/>
  <c r="E5" i="2"/>
  <c r="C5" i="2"/>
  <c r="I4" i="2"/>
  <c r="G4" i="2"/>
  <c r="E4" i="2"/>
  <c r="C4" i="2"/>
  <c r="I3" i="2"/>
  <c r="G3" i="2"/>
  <c r="E3" i="2"/>
  <c r="C3" i="2"/>
  <c r="C28" i="11" l="1"/>
  <c r="D15" i="11"/>
  <c r="B28" i="11"/>
  <c r="C15" i="11"/>
  <c r="C23" i="11"/>
  <c r="B23" i="11"/>
  <c r="B9" i="11"/>
  <c r="B14" i="11" s="1"/>
  <c r="C9" i="11"/>
  <c r="C14" i="11" s="1"/>
  <c r="C57" i="9"/>
  <c r="F37" i="9"/>
  <c r="E37" i="9"/>
  <c r="B57" i="9"/>
  <c r="F36" i="9"/>
  <c r="C56" i="9"/>
  <c r="B56" i="9"/>
  <c r="E36" i="9"/>
  <c r="C55" i="9"/>
  <c r="F35" i="9"/>
  <c r="E35" i="9"/>
  <c r="B55" i="9"/>
  <c r="F34" i="9"/>
  <c r="C54" i="9"/>
  <c r="B54" i="9"/>
  <c r="E34" i="9"/>
  <c r="D49" i="9"/>
  <c r="D48" i="9"/>
  <c r="D53" i="9"/>
  <c r="C53" i="9"/>
  <c r="C49" i="9"/>
  <c r="C48" i="9"/>
  <c r="F33" i="9"/>
  <c r="B50" i="9"/>
  <c r="B49" i="9"/>
  <c r="B48" i="9"/>
  <c r="B53" i="9"/>
  <c r="F32" i="9"/>
  <c r="C52" i="9"/>
  <c r="B52" i="9"/>
  <c r="E32" i="9"/>
  <c r="F31" i="9"/>
  <c r="C51" i="9"/>
  <c r="B51" i="9"/>
  <c r="E31" i="9"/>
  <c r="C50" i="9"/>
  <c r="F30" i="9"/>
  <c r="E30" i="9"/>
  <c r="D23" i="9"/>
  <c r="D24" i="9" s="1"/>
  <c r="D44" i="9"/>
  <c r="D58" i="9" s="1"/>
  <c r="C23" i="9"/>
  <c r="C24" i="9" s="1"/>
  <c r="C44" i="9"/>
  <c r="B23" i="9"/>
  <c r="B24" i="9" s="1"/>
  <c r="B44" i="9"/>
  <c r="C79" i="7"/>
  <c r="D52" i="7"/>
  <c r="B79" i="7"/>
  <c r="C52" i="7"/>
  <c r="D6" i="8"/>
  <c r="D15" i="7"/>
  <c r="D63" i="7" s="1"/>
  <c r="C6" i="8"/>
  <c r="D36" i="7"/>
  <c r="C15" i="7"/>
  <c r="C63" i="7" s="1"/>
  <c r="B15" i="7"/>
  <c r="C36" i="7"/>
  <c r="B63" i="7"/>
  <c r="D30" i="6"/>
  <c r="B33" i="6"/>
  <c r="Q9" i="5"/>
  <c r="Q10" i="5"/>
  <c r="Q5" i="5"/>
  <c r="Q7" i="5"/>
  <c r="Q9" i="4"/>
  <c r="Q10" i="4"/>
  <c r="Q7" i="4"/>
  <c r="Q5" i="4"/>
  <c r="Q7" i="3"/>
  <c r="Q5" i="3"/>
  <c r="Q9" i="3"/>
  <c r="Q10" i="3"/>
  <c r="C5" i="6"/>
  <c r="C6" i="6" s="1"/>
  <c r="B19" i="6"/>
  <c r="D18" i="6"/>
  <c r="B5" i="6"/>
  <c r="B6" i="6" s="1"/>
  <c r="C18" i="6"/>
  <c r="B18" i="6"/>
  <c r="B35" i="6" s="1"/>
  <c r="E5" i="6"/>
  <c r="E6" i="6" s="1"/>
  <c r="C9" i="6"/>
  <c r="C11" i="6" s="1"/>
  <c r="B10" i="6"/>
  <c r="C10" i="6"/>
  <c r="B9" i="6"/>
  <c r="B36" i="6" s="1"/>
  <c r="D10" i="6"/>
  <c r="D9" i="6"/>
  <c r="D11" i="6" s="1"/>
  <c r="D5" i="6"/>
  <c r="D6" i="6" s="1"/>
  <c r="B20" i="6"/>
  <c r="D19" i="6"/>
  <c r="D20" i="6"/>
  <c r="D26" i="6"/>
  <c r="B26" i="6"/>
  <c r="C20" i="6"/>
  <c r="C26" i="6"/>
  <c r="D25" i="6"/>
  <c r="C19" i="6"/>
  <c r="C25" i="6"/>
  <c r="B25" i="6"/>
  <c r="B24" i="6"/>
  <c r="D24" i="6"/>
  <c r="C24" i="6"/>
  <c r="D14" i="11"/>
  <c r="C30" i="11" s="1"/>
  <c r="C26" i="11"/>
  <c r="B26" i="11"/>
  <c r="C9" i="10"/>
  <c r="B30" i="11" l="1"/>
  <c r="C58" i="9"/>
  <c r="F44" i="9"/>
  <c r="B58" i="9"/>
  <c r="E44" i="9"/>
  <c r="D79" i="7"/>
  <c r="D19" i="7"/>
  <c r="D60" i="7"/>
  <c r="D61" i="7"/>
  <c r="D62" i="7"/>
  <c r="D64" i="7"/>
  <c r="D65" i="7"/>
  <c r="D66" i="7"/>
  <c r="D67" i="7"/>
  <c r="D68" i="7"/>
  <c r="D69" i="7"/>
  <c r="D70" i="7"/>
  <c r="D71" i="7"/>
  <c r="D72" i="7"/>
  <c r="D73" i="7"/>
  <c r="D74" i="7"/>
  <c r="D76" i="7"/>
  <c r="D77" i="7"/>
  <c r="D78" i="7"/>
  <c r="C19" i="7"/>
  <c r="D44" i="7"/>
  <c r="C60" i="7"/>
  <c r="C61" i="7"/>
  <c r="C62" i="7"/>
  <c r="C64" i="7"/>
  <c r="C65" i="7"/>
  <c r="C66" i="7"/>
  <c r="C67" i="7"/>
  <c r="C68" i="7"/>
  <c r="C69" i="7"/>
  <c r="C70" i="7"/>
  <c r="C71" i="7"/>
  <c r="C72" i="7"/>
  <c r="C73" i="7"/>
  <c r="C74" i="7"/>
  <c r="C76" i="7"/>
  <c r="C77" i="7"/>
  <c r="C78" i="7"/>
  <c r="B19" i="7"/>
  <c r="C44" i="7"/>
  <c r="B60" i="7"/>
  <c r="B61" i="7"/>
  <c r="B62" i="7"/>
  <c r="B64" i="7"/>
  <c r="B65" i="7"/>
  <c r="B66" i="7"/>
  <c r="B67" i="7"/>
  <c r="B68" i="7"/>
  <c r="B69" i="7"/>
  <c r="B70" i="7"/>
  <c r="B71" i="7"/>
  <c r="B72" i="7"/>
  <c r="B73" i="7"/>
  <c r="B74" i="7"/>
  <c r="B76" i="7"/>
  <c r="B77" i="7"/>
  <c r="B78" i="7"/>
  <c r="C12" i="6"/>
  <c r="C13" i="6"/>
  <c r="C31" i="6"/>
  <c r="C43" i="6"/>
  <c r="C55" i="6"/>
  <c r="B12" i="6"/>
  <c r="B13" i="6"/>
  <c r="C30" i="6"/>
  <c r="C42" i="6"/>
  <c r="C54" i="6"/>
  <c r="B47" i="6"/>
  <c r="B59" i="6"/>
  <c r="B11" i="6"/>
  <c r="B48" i="6"/>
  <c r="B60" i="6"/>
  <c r="D12" i="6"/>
  <c r="D13" i="6"/>
  <c r="C32" i="6"/>
  <c r="C44" i="6"/>
  <c r="C56" i="6"/>
  <c r="D24" i="7" l="1"/>
  <c r="D75" i="7"/>
  <c r="C24" i="7"/>
  <c r="C75" i="7"/>
  <c r="D48" i="7"/>
  <c r="B24" i="7"/>
  <c r="B75" i="7"/>
  <c r="C48" i="7"/>
  <c r="B34" i="6"/>
  <c r="B46" i="6"/>
  <c r="B58" i="6"/>
  <c r="D80" i="7" l="1"/>
  <c r="D8" i="8"/>
  <c r="D5" i="8" s="1"/>
  <c r="D3" i="11"/>
  <c r="C80" i="7"/>
  <c r="C8" i="8"/>
  <c r="C3" i="11"/>
  <c r="D53" i="7"/>
  <c r="B80" i="7"/>
  <c r="B8" i="8"/>
  <c r="C53" i="7"/>
  <c r="B3" i="11"/>
  <c r="B10" i="11" s="1"/>
  <c r="B37" i="6"/>
  <c r="B38" i="6"/>
  <c r="B50" i="6"/>
  <c r="B49" i="6"/>
  <c r="B61" i="6"/>
  <c r="B62" i="6"/>
  <c r="C25" i="11" l="1"/>
  <c r="D10" i="11"/>
  <c r="B25" i="11"/>
  <c r="C10" i="11"/>
  <c r="C5" i="8"/>
  <c r="D16" i="11" l="1"/>
  <c r="C22" i="11"/>
  <c r="C24" i="11"/>
  <c r="C16" i="11"/>
  <c r="B22" i="11"/>
  <c r="B24" i="11"/>
  <c r="C31" i="11" l="1"/>
  <c r="B31" i="11"/>
  <c r="C32" i="11" l="1"/>
  <c r="B3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06" authorId="0" shapeId="0" xr:uid="{00000000-0006-0000-0100-000001000000}">
      <text>
        <r>
          <rPr>
            <sz val="10"/>
            <rFont val="Arial"/>
            <family val="2"/>
          </rPr>
          <t>Flag, not changed: NIFTY 50 closed at about 23,865 on 30 June 2026 (and 23,824 on 23 June), but this row shows 23,382.60. The June 2026 row appears to be a mid-month value rather than the month-end close. Please re-download the 30-June-2026 closes for all four series.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V2" authorId="0" shapeId="0" xr:uid="{00000000-0006-0000-0200-000003000000}">
      <text>
        <r>
          <rPr>
            <sz val="10"/>
            <rFont val="Arial"/>
            <family val="2"/>
          </rPr>
          <t>Assumed market return 15% (your input). Note: 'Portfolio Analysis' uses the historical NIFTY return (10.91%) for CAPM, so the two CAPM sets differ by design.</t>
        </r>
      </text>
    </comment>
    <comment ref="E3" authorId="0" shapeId="0" xr:uid="{00000000-0006-0000-0200-000001000000}">
      <text>
        <r>
          <rPr>
            <sz val="10"/>
            <rFont val="Arial"/>
            <family val="2"/>
          </rPr>
          <t>Ranges started at row 3 (the Sep→Oct 2017 return), giving 105 returns while the SBI Life, GIC Re and Portfolio Analysis sheets use 104 (Nov 2017–Jun 2026). Now C4:C107 / M4:M107 so all sheets are aligned. Return becomes 13.57% (was 13.39%), beta 0.834 (was 0.824).</t>
        </r>
      </text>
    </comment>
    <comment ref="Q8" authorId="0" shapeId="0" xr:uid="{00000000-0006-0000-0200-000002000000}">
      <text>
        <r>
          <rPr>
            <sz val="10"/>
            <rFont val="Arial"/>
            <family val="2"/>
          </rPr>
          <t>CAPM formula was =V1*Q4+(V2-V1), i.e. Rf×β + (Rm−Rf). Correct CAPM: Rf + β×(Rm−Rf). Original value 13.94%.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V2" authorId="0" shapeId="0" xr:uid="{00000000-0006-0000-0300-000002000000}">
      <text>
        <r>
          <rPr>
            <sz val="10"/>
            <rFont val="Arial"/>
            <family val="2"/>
          </rPr>
          <t>Assumed market return 15% (your input). Note: 'Portfolio Analysis' uses the historical NIFTY return (10.91%) for CAPM, so the two CAPM sets differ by design.</t>
        </r>
      </text>
    </comment>
    <comment ref="Q8" authorId="0" shapeId="0" xr:uid="{00000000-0006-0000-0300-000001000000}">
      <text>
        <r>
          <rPr>
            <sz val="10"/>
            <rFont val="Arial"/>
            <family val="2"/>
          </rPr>
          <t>CAPM formula was =V1*Q4+(V2-V1), i.e. Rf×β + (Rm−Rf). Correct CAPM: Rf + β×(Rm−Rf). Original value 14.63%.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V2" authorId="0" shapeId="0" xr:uid="{00000000-0006-0000-0400-000002000000}">
      <text>
        <r>
          <rPr>
            <sz val="10"/>
            <rFont val="Arial"/>
            <family val="2"/>
          </rPr>
          <t>Assumed market return 15% (your input). Note: 'Portfolio Analysis' uses the historical NIFTY return (10.91%) for CAPM, so the two CAPM sets differ by design.</t>
        </r>
      </text>
    </comment>
    <comment ref="Q8" authorId="0" shapeId="0" xr:uid="{00000000-0006-0000-0400-000001000000}">
      <text>
        <r>
          <rPr>
            <sz val="10"/>
            <rFont val="Arial"/>
            <family val="2"/>
          </rPr>
          <t>CAPM formula was =V1*Q4+(V2-V1), i.e. Rf×β + (Rm−Rf). Correct CAPM: Rf + β×(Rm−Rf). Original value 16.23%.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500-000001000000}">
      <text>
        <r>
          <rPr>
            <sz val="10"/>
            <rFont val="Arial"/>
            <family val="2"/>
          </rPr>
          <t>Rows 5–13 were typed, rounded numbers. Now formulas over the 104 monthly returns (Nov 2017–Jun 2026) in 'Monthly Price &amp; Return Data'. Values agree with the typed ones to the rounding shown (e.g., ICICI Lombard return 13.57%, beta 0.834). CAPM uses the historical NIFTY return (E6), as before.</t>
        </r>
      </text>
    </comment>
    <comment ref="A40" authorId="0" shapeId="0" xr:uid="{00000000-0006-0000-0500-000002000000}">
      <text>
        <r>
          <rPr>
            <sz val="10"/>
            <rFont val="Arial"/>
            <family val="2"/>
          </rPr>
          <t>Weights B42:B44 and B54:B56 are kept as your OpenSolver results (verified: an independent SLSQP re-optimisation gives 49.51/0/50.49% and 62.68/5.15/32.18%, with Sharpe and variance identical to 4 d.p.). All statistics below them are now formulas instead of typed rounded numbers.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600-000003000000}">
      <text>
        <r>
          <rPr>
            <sz val="10"/>
            <rFont val="Arial"/>
            <family val="2"/>
          </rPr>
          <t>Subtotal converted from a typed value to a formula; result is unchanged and agrees with the annual report.</t>
        </r>
      </text>
    </comment>
    <comment ref="B15" authorId="0" shapeId="0" xr:uid="{00000000-0006-0000-0600-000004000000}">
      <text>
        <r>
          <rPr>
            <sz val="10"/>
            <rFont val="Arial"/>
            <family val="2"/>
          </rPr>
          <t>Subtotal converted from a typed value to a formula; result is unchanged and agrees with the annual report.</t>
        </r>
      </text>
    </comment>
    <comment ref="A18" authorId="0" shapeId="0" xr:uid="{00000000-0006-0000-0600-000001000000}">
      <text>
        <r>
          <rPr>
            <sz val="10"/>
            <rFont val="Arial"/>
            <family val="2"/>
          </rPr>
          <t>Relabelled. The annual report's 'Total (B)' (₹200.74 cr FY2024, ₹9.82 cr FY2025, ₹58.04 cr FY2026) includes the provisions in rows 16–17, not only 'other expenses'. Values were already correct.</t>
        </r>
      </text>
    </comment>
    <comment ref="B19" authorId="0" shapeId="0" xr:uid="{00000000-0006-0000-0600-000005000000}">
      <text>
        <r>
          <rPr>
            <sz val="10"/>
            <rFont val="Arial"/>
            <family val="2"/>
          </rPr>
          <t>Subtotal converted from a typed value to a formula; result is unchanged and agrees with the annual report.</t>
        </r>
      </text>
    </comment>
    <comment ref="B23" authorId="0" shapeId="0" xr:uid="{00000000-0006-0000-0600-000006000000}">
      <text>
        <r>
          <rPr>
            <sz val="10"/>
            <rFont val="Arial"/>
            <family val="2"/>
          </rPr>
          <t>Subtotal converted from a typed value to a formula; result is unchanged and agrees with the annual report.</t>
        </r>
      </text>
    </comment>
    <comment ref="B24" authorId="0" shapeId="0" xr:uid="{00000000-0006-0000-0600-000007000000}">
      <text>
        <r>
          <rPr>
            <sz val="10"/>
            <rFont val="Arial"/>
            <family val="2"/>
          </rPr>
          <t>Subtotal converted from a typed value to a formula; result is unchanged and agrees with the annual report.</t>
        </r>
      </text>
    </comment>
    <comment ref="A31" authorId="0" shapeId="0" xr:uid="{00000000-0006-0000-0600-000002000000}">
      <text>
        <r>
          <rPr>
            <sz val="10"/>
            <rFont val="Arial"/>
            <family val="2"/>
          </rPr>
          <t>Formula changed to =IF(OR(prev=0, prev×curr&lt;0),"n.m.",(curr−prev)/ABS(prev)). Percentage change is not meaningful when the base is zero or the sign flips; dividing by ABS(prev) makes the sign of the change correct when both years are negative (e.g., a bigger loss now shows as a negative change). FY2026 PAT, tax and EPS growth were typed numbers and are now formulas.</t>
        </r>
      </text>
    </comment>
    <comment ref="B81" authorId="0" shapeId="0" xr:uid="{00000000-0006-0000-0600-000008000000}">
      <text>
        <r>
          <rPr>
            <sz val="10"/>
            <rFont val="Arial"/>
            <family val="2"/>
          </rPr>
          <t>EPS is ₹ per share and Total Income is ₹ crore, so EPS ÷ Total Income has no economic meaning. Replaced with 'n.m.'.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2" authorId="0" shapeId="0" xr:uid="{00000000-0006-0000-0700-000001000000}">
      <text>
        <r>
          <rPr>
            <sz val="10"/>
            <rFont val="Arial"/>
            <family val="2"/>
          </rPr>
          <t>Stored as text ('2.62x'), which charts and formulas cannot use. Now numbers formatted 0.00"x". Values unchanged and verified.</t>
        </r>
      </text>
    </comment>
    <comment ref="B13" authorId="0" shapeId="0" xr:uid="{00000000-0006-0000-0700-000002000000}">
      <text>
        <r>
          <rPr>
            <sz val="10"/>
            <rFont val="Arial"/>
            <family val="2"/>
          </rPr>
          <t>Net incurred claims / NEP: workbook rounded to 71% in all years. Exact: FY2024 70.8% (FY2025 report, Annexure 1b), FY2025 70.6% (FY2026 report, Annexure 1b), FY2026 71.1% (FY2026 MD&amp;A).</t>
        </r>
      </text>
    </comment>
    <comment ref="B14" authorId="0" shapeId="0" xr:uid="{00000000-0006-0000-0700-000003000000}">
      <text>
        <r>
          <rPr>
            <sz val="10"/>
            <rFont val="Arial"/>
            <family val="2"/>
          </rPr>
          <t>EOM / GDPI: exact FY2024 29.8% and FY2025 30.8% (analytical-ratio annexures). FY2026 is published only as 32%.</t>
        </r>
      </text>
    </comment>
    <comment ref="B15" authorId="0" shapeId="0" xr:uid="{00000000-0006-0000-0700-000004000000}">
      <text>
        <r>
          <rPr>
            <sz val="10"/>
            <rFont val="Arial"/>
            <family val="2"/>
          </rPr>
          <t>Net commission ratio: exact FY2024 17.0%, FY2025 18.5%. FY2026 is published only as 19%.</t>
        </r>
      </text>
    </comment>
    <comment ref="B16" authorId="0" shapeId="0" xr:uid="{00000000-0006-0000-0700-000005000000}">
      <text>
        <r>
          <rPr>
            <sz val="10"/>
            <rFont val="Arial"/>
            <family val="2"/>
          </rPr>
          <t>Operating profit ratio: workbook FY2024 value 16% is the FY2023 figure (FY2024 report shows FY2023 16%, FY2024 11%). Exact: FY2024 11.2%, FY2025 11.4%, FY2026 11% (published rounded).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7" authorId="0" shapeId="0" xr:uid="{00000000-0006-0000-0800-000004000000}">
      <text>
        <r>
          <rPr>
            <sz val="10"/>
            <rFont val="Arial"/>
            <family val="2"/>
          </rPr>
          <t>Flag, not changed: matches the FY2025 annual report as originally published (₹14,453.87 cr; current liabilities ₹42,739.46 cr). The FY2026 report re-presents FY2025 as ₹14,578.64 cr and ₹42,864.23 cr (+₹124.77 cr on both sides; net current assets unchanged).</t>
        </r>
      </text>
    </comment>
    <comment ref="B19" authorId="0" shapeId="0" xr:uid="{00000000-0006-0000-0800-000003000000}">
      <text>
        <r>
          <rPr>
            <sz val="10"/>
            <rFont val="Arial"/>
            <family val="2"/>
          </rPr>
          <t>Flag, not changed: matches the FY2024 annual report as originally published (₹40,235.20 cr; provisions ₹10,088.06 cr). The FY2025 report re-presents FY2024 as ₹40,049.59 cr and ₹10,273.67 cr (same total). Use one convention consistently.</t>
        </r>
      </text>
    </comment>
    <comment ref="A23" authorId="0" shapeId="0" xr:uid="{00000000-0006-0000-0800-000001000000}">
      <text>
        <r>
          <rPr>
            <sz val="10"/>
            <rFont val="Arial"/>
            <family val="2"/>
          </rPr>
          <t>Relabelled from 'Total sources of funds'. This row is the application side (investments + loans + fixed assets + DTA + net current assets). Subtotals in rows 10, 18, 21, 22, 23 are now formulas; results unchanged.</t>
        </r>
      </text>
    </comment>
    <comment ref="A26" authorId="0" shapeId="0" xr:uid="{00000000-0006-0000-0800-000002000000}">
      <text>
        <r>
          <rPr>
            <sz val="10"/>
            <rFont val="Arial"/>
            <family val="2"/>
          </rPr>
          <t>Columns B–D now link to the statement above (previously re-typed). Growth formulas are sign-safe: 'n.m.' where the base is zero or the sign changes (FVCA in FY2026, borrowings). Net current assets now show −6.99% / −9.65% (more negative) instead of +6.99% / +9.65%.</t>
        </r>
      </text>
    </comment>
    <comment ref="C48" authorId="0" shapeId="0" xr:uid="{00000000-0006-0000-0800-000005000000}">
      <text>
        <r>
          <rPr>
            <sz val="10"/>
            <rFont val="Arial"/>
            <family val="2"/>
          </rPr>
          <t>Formula divided by C34 (shareholders' investments) instead of C33 (total sources of funds). Original 3.61%; corrected 3.31%.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900-000001000000}">
      <text>
        <r>
          <rPr>
            <sz val="10"/>
            <rFont val="Arial"/>
            <family val="2"/>
          </rPr>
          <t>Replaced whole-crore figures with exact audited figures (2 d.p.). FY2024 from the FY2024 Receipts &amp; Payments Account (₹'000); FY2025 from the FY2025 report as originally published; FY2026 from the FY2026 report.</t>
        </r>
      </text>
    </comment>
    <comment ref="B8" authorId="0" shapeId="0" xr:uid="{00000000-0006-0000-0900-000002000000}">
      <text>
        <r>
          <rPr>
            <sz val="10"/>
            <rFont val="Arial"/>
            <family val="2"/>
          </rPr>
          <t>Original 204 was wrong: opening cash &amp; cash equivalents for FY2024 were ₹203.13 crore (₹2,031,293 thousand).</t>
        </r>
      </text>
    </comment>
    <comment ref="D8" authorId="0" shapeId="0" xr:uid="{00000000-0006-0000-0900-000003000000}">
      <text>
        <r>
          <rPr>
            <sz val="10"/>
            <rFont val="Arial"/>
            <family val="2"/>
          </rPr>
          <t>FY2026 opening balance per the FY2026 report is ₹86.62 cr, whereas FY2025 closing per the FY2025 report is ₹87.57 cr; the company re-presented the FY2025 cash-equivalent figure. Kept as reported.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9" authorId="0" shapeId="0" xr:uid="{00000000-0006-0000-0A00-000001000000}">
      <text>
        <r>
          <rPr>
            <sz val="10"/>
            <rFont val="Arial"/>
            <family val="2"/>
          </rPr>
          <t>Was 0 (no FY2023 data), which made FY2024 ROA and asset turnover blank and let FY2025 'improving ROA' and 'improving asset turnover' compare against nothing.</t>
        </r>
      </text>
    </comment>
    <comment ref="B18" authorId="0" shapeId="0" xr:uid="{00000000-0006-0000-0A00-000002000000}">
      <text>
        <r>
          <rPr>
            <sz val="10"/>
            <rFont val="Arial"/>
            <family val="2"/>
          </rPr>
          <t>Added input. FY2023 total assets from the FY2024 annual report balance sheet (₹'000): investments 98,583,428 + 333,220,562; fixed assets 5,639,995; DTA 2,653,227; current assets 110,764,833 = ₹55,086.20 crore. Needed so that FY2024 ROA and asset turnover exist and the FY2025 criteria 3 and 9 can be tested.</t>
        </r>
      </text>
    </comment>
    <comment ref="B22" authorId="0" shapeId="0" xr:uid="{00000000-0006-0000-0A00-000003000000}">
      <text>
        <r>
          <rPr>
            <sz val="10"/>
            <rFont val="Arial"/>
            <family val="2"/>
          </rPr>
          <t>Tested ROA change (C16) instead of ROA level</t>
        </r>
      </text>
    </comment>
    <comment ref="B23" authorId="0" shapeId="0" xr:uid="{00000000-0006-0000-0A00-000004000000}">
      <text>
        <r>
          <rPr>
            <sz val="10"/>
            <rFont val="Arial"/>
            <family val="2"/>
          </rPr>
          <t>FY2025 cell referred to FY2024 CFO (B5) – one column off</t>
        </r>
      </text>
    </comment>
    <comment ref="B24" authorId="0" shapeId="0" xr:uid="{00000000-0006-0000-0A00-000005000000}">
      <text>
        <r>
          <rPr>
            <sz val="10"/>
            <rFont val="Arial"/>
            <family val="2"/>
          </rPr>
          <t>FY2025 compared with a blank FY2024 ROA</t>
        </r>
      </text>
    </comment>
    <comment ref="B25" authorId="0" shapeId="0" xr:uid="{00000000-0006-0000-0A00-000006000000}">
      <text>
        <r>
          <rPr>
            <sz val="10"/>
            <rFont val="Arial"/>
            <family val="2"/>
          </rPr>
          <t>Typed 0 – now a formula</t>
        </r>
      </text>
    </comment>
    <comment ref="B26" authorId="0" shapeId="0" xr:uid="{00000000-0006-0000-0A00-000007000000}">
      <text>
        <r>
          <rPr>
            <sz val="10"/>
            <rFont val="Arial"/>
            <family val="2"/>
          </rPr>
          <t>Typed 1 – now a formula (adapted: no increase in leverage)</t>
        </r>
      </text>
    </comment>
    <comment ref="B28" authorId="0" shapeId="0" xr:uid="{00000000-0006-0000-0A00-000008000000}">
      <text>
        <r>
          <rPr>
            <sz val="10"/>
            <rFont val="Arial"/>
            <family val="2"/>
          </rPr>
          <t>Typed 0 – now a formula</t>
        </r>
      </text>
    </comment>
    <comment ref="B30" authorId="0" shapeId="0" xr:uid="{00000000-0006-0000-0A00-000009000000}">
      <text>
        <r>
          <rPr>
            <sz val="10"/>
            <rFont val="Arial"/>
            <family val="2"/>
          </rPr>
          <t>FY2025 typed 1 although FY2024 turnover was unavailable; with FY2024 turnover 0.4185 &gt; 0.4056 the correct point is 0</t>
        </r>
      </text>
    </comment>
    <comment ref="B32" authorId="0" shapeId="0" xr:uid="{00000000-0006-0000-0A00-00000A000000}">
      <text>
        <r>
          <rPr>
            <sz val="10"/>
            <rFont val="Arial"/>
            <family val="2"/>
          </rPr>
          <t>Interpretation now applies the 8-9 / 6-7 / 3-5 / 0-2 bands proportionally to the 7 applicable criteria, so N/A criteria are not counted as failures.</t>
        </r>
      </text>
    </comment>
  </commentList>
</comments>
</file>

<file path=xl/sharedStrings.xml><?xml version="1.0" encoding="utf-8"?>
<sst xmlns="http://schemas.openxmlformats.org/spreadsheetml/2006/main" count="410" uniqueCount="182">
  <si>
    <t>—</t>
  </si>
  <si>
    <t>Other expenses (B)</t>
  </si>
  <si>
    <t>Total (B): provisions (rows 16–17) and other expenses</t>
  </si>
  <si>
    <t>n.m.</t>
  </si>
  <si>
    <t>Net incurred claims / net earned premium</t>
  </si>
  <si>
    <t>Expenses of management / GDPI</t>
  </si>
  <si>
    <t>Net commission ratio</t>
  </si>
  <si>
    <t>Operating profit ratio</t>
  </si>
  <si>
    <t>SBI Life</t>
  </si>
  <si>
    <t>GIC Re</t>
  </si>
  <si>
    <t>Month</t>
  </si>
  <si>
    <t>ICICI Lombard Close</t>
  </si>
  <si>
    <t>ICICI Lombard Return</t>
  </si>
  <si>
    <t>GIC Re Close</t>
  </si>
  <si>
    <t>GIC Re Return</t>
  </si>
  <si>
    <t>SBI Life Close</t>
  </si>
  <si>
    <t>SBI Life Return</t>
  </si>
  <si>
    <t>NIFTY 50 Close</t>
  </si>
  <si>
    <t>NIFTY 50 Return</t>
  </si>
  <si>
    <t>Monthly Return</t>
  </si>
  <si>
    <t>RF</t>
  </si>
  <si>
    <t>Covariance:</t>
  </si>
  <si>
    <t>RM</t>
  </si>
  <si>
    <t>Average Monthly Return</t>
  </si>
  <si>
    <t>Variance</t>
  </si>
  <si>
    <t>Annualized return</t>
  </si>
  <si>
    <t xml:space="preserve">Beta </t>
  </si>
  <si>
    <t>Monthly Standard Deviation</t>
  </si>
  <si>
    <t>Beta Slope</t>
  </si>
  <si>
    <t>Annualized Standard Deviation</t>
  </si>
  <si>
    <t xml:space="preserve">Correlation </t>
  </si>
  <si>
    <t>CAPM</t>
  </si>
  <si>
    <t>Sharpe Ratio</t>
  </si>
  <si>
    <t>Treynor Ratio</t>
  </si>
  <si>
    <t>Covariance</t>
  </si>
  <si>
    <t>Risk-free rate</t>
  </si>
  <si>
    <t>Initial investment</t>
  </si>
  <si>
    <t>Metric</t>
  </si>
  <si>
    <t>ICICI Lombard</t>
  </si>
  <si>
    <t>NIFTY 50</t>
  </si>
  <si>
    <t>Annualized Return</t>
  </si>
  <si>
    <t>Annualized Volatility</t>
  </si>
  <si>
    <t>Beta</t>
  </si>
  <si>
    <t>Correlation with NIFTY</t>
  </si>
  <si>
    <t>CAPM Required Return</t>
  </si>
  <si>
    <t>Monthly Covariance Matrix</t>
  </si>
  <si>
    <t>Monthly Correlation Matrix</t>
  </si>
  <si>
    <t>Portfolio A — Equal Weighted</t>
  </si>
  <si>
    <t>Stock</t>
  </si>
  <si>
    <t>Weight</t>
  </si>
  <si>
    <t>₹10 Lakh Allocation</t>
  </si>
  <si>
    <t>Weight Total</t>
  </si>
  <si>
    <t>Expected Return</t>
  </si>
  <si>
    <t>Portfolio Risk</t>
  </si>
  <si>
    <t>Portfolio Beta</t>
  </si>
  <si>
    <t>Portfolio B — Maximum Sharpe (Efficient Frontier)</t>
  </si>
  <si>
    <t>Portfolio C — Minimum Variance</t>
  </si>
  <si>
    <t>ICICI Lombard — Profit &amp; Loss Account</t>
  </si>
  <si>
    <t>Particulars (₹ crore)</t>
  </si>
  <si>
    <t>FY2024</t>
  </si>
  <si>
    <t>FY2025</t>
  </si>
  <si>
    <t>FY2026</t>
  </si>
  <si>
    <t>Operating profit — Fire Insurance</t>
  </si>
  <si>
    <t>Operating profit — Marine Insurance</t>
  </si>
  <si>
    <t>Operating profit — Miscellaneous Insurance</t>
  </si>
  <si>
    <t>Total operating profit from insurance segments</t>
  </si>
  <si>
    <t>Interest, dividend &amp; rent — gross</t>
  </si>
  <si>
    <t>Profit on sale/redemption of investments</t>
  </si>
  <si>
    <t>Loss on sale/redemption of investments</t>
  </si>
  <si>
    <t>Amortisation of investment premium/discount</t>
  </si>
  <si>
    <t>Interest income on tax refund</t>
  </si>
  <si>
    <t>Profit on sale/discard of fixed assets</t>
  </si>
  <si>
    <t>Recovery of bad debts written off</t>
  </si>
  <si>
    <t>Total Income (A)</t>
  </si>
  <si>
    <t>Provision for diminution in value of investments</t>
  </si>
  <si>
    <t>Provision for doubtful debts</t>
  </si>
  <si>
    <t>Profit Before Tax (PBT)</t>
  </si>
  <si>
    <t>Current tax</t>
  </si>
  <si>
    <t>Excess/(deficit) tax provision of earlier years</t>
  </si>
  <si>
    <t>Deferred tax expense/(income)</t>
  </si>
  <si>
    <t>Total tax expense</t>
  </si>
  <si>
    <t>Profit After Tax (PAT)</t>
  </si>
  <si>
    <t>Basic EPS (₹ per share)</t>
  </si>
  <si>
    <t>Diluted EPS (₹ per share)</t>
  </si>
  <si>
    <t>Horizontal Analysis — Year-on-Year Change (%)</t>
  </si>
  <si>
    <t>Particulars</t>
  </si>
  <si>
    <t>Vertical Analysis — % of Total Income (A)</t>
  </si>
  <si>
    <t>ICICI Lombard — Financial &amp; Insurance Ratio Analysis</t>
  </si>
  <si>
    <t>GDPI Growth (%)</t>
  </si>
  <si>
    <t>PAT Growth (%)</t>
  </si>
  <si>
    <t>Operating Profit Growth (%)</t>
  </si>
  <si>
    <t>Gross Direct Premium Income (₹ crore)</t>
  </si>
  <si>
    <t>Profit After Tax (₹ crore)</t>
  </si>
  <si>
    <t>Basic EPS (₹)</t>
  </si>
  <si>
    <t>Return on Average Equity (RoAE)</t>
  </si>
  <si>
    <t>Combined ratio — published headline basis</t>
  </si>
  <si>
    <t>Solvency ratio (times)</t>
  </si>
  <si>
    <t>ICICI Lombard — Balance Sheet</t>
  </si>
  <si>
    <t>Share capital</t>
  </si>
  <si>
    <t>Share application money pending allotment</t>
  </si>
  <si>
    <t>Reserves and surplus</t>
  </si>
  <si>
    <t>Fair value change account — shareholders' funds</t>
  </si>
  <si>
    <t>Fair value change account — policyholders' funds</t>
  </si>
  <si>
    <t>Borrowings</t>
  </si>
  <si>
    <t>Total sources of funds</t>
  </si>
  <si>
    <t>Investments — shareholders</t>
  </si>
  <si>
    <t>Investments — policyholders</t>
  </si>
  <si>
    <t>Loans</t>
  </si>
  <si>
    <t>Fixed assets</t>
  </si>
  <si>
    <t>Deferred tax asset (net)</t>
  </si>
  <si>
    <t>Cash and bank balances</t>
  </si>
  <si>
    <t>Advances and other assets</t>
  </si>
  <si>
    <t>Current assets subtotal (A)</t>
  </si>
  <si>
    <t>Current liabilities</t>
  </si>
  <si>
    <t>Provisions</t>
  </si>
  <si>
    <t>Current liabilities and provisions subtotal (B)</t>
  </si>
  <si>
    <t>Net current assets (A − B)</t>
  </si>
  <si>
    <t>Total application of funds</t>
  </si>
  <si>
    <t>Horizontal Analysis (Trend Analysis)</t>
  </si>
  <si>
    <t>YoY Growth (FY25)</t>
  </si>
  <si>
    <t>YoY Growth (FY26)</t>
  </si>
  <si>
    <t>Current liabilities &amp; prov. (B)</t>
  </si>
  <si>
    <t>Vertical Analysis (Common-Size Statement)</t>
  </si>
  <si>
    <t>Fair value change — shareholders</t>
  </si>
  <si>
    <t>Fair value change — policyholders</t>
  </si>
  <si>
    <t>Total Sources of Funds</t>
  </si>
  <si>
    <t>ICICI Lombard — Cash Flow Summary</t>
  </si>
  <si>
    <t>Net cash flow from operating activities</t>
  </si>
  <si>
    <t>Net cash flow from investing activities</t>
  </si>
  <si>
    <t>Net cash flow from financing activities</t>
  </si>
  <si>
    <t>Net increase/(decrease) in cash equivalents</t>
  </si>
  <si>
    <t>Cash &amp; cash equivalents at beginning of year</t>
  </si>
  <si>
    <t>Cash &amp; cash equivalents at end of year</t>
  </si>
  <si>
    <t>ICICI LOMBARD —  PIOTROSKI-SCORE</t>
  </si>
  <si>
    <t>Metric (₹ crore unless stated)</t>
  </si>
  <si>
    <t>PAT</t>
  </si>
  <si>
    <t>Total assets</t>
  </si>
  <si>
    <t>Operating cash flow</t>
  </si>
  <si>
    <t>GDPI</t>
  </si>
  <si>
    <t>Average total assets</t>
  </si>
  <si>
    <t>ROA (PAT / average assets)</t>
  </si>
  <si>
    <t>Operating cash flow &gt; 0</t>
  </si>
  <si>
    <t>CFO &gt; PAT</t>
  </si>
  <si>
    <t>Leverage measure: borrowings / total assets</t>
  </si>
  <si>
    <t>GDPI / average total assets</t>
  </si>
  <si>
    <t>Share capital change</t>
  </si>
  <si>
    <t>ROA change</t>
  </si>
  <si>
    <t>Total assets FY2023 (opening; for FY2024 averages)</t>
  </si>
  <si>
    <t>Criterion</t>
  </si>
  <si>
    <t>FY2025 point</t>
  </si>
  <si>
    <t>FY2026 point</t>
  </si>
  <si>
    <t>1. Positive ROA</t>
  </si>
  <si>
    <t>2. Positive operating cash flow</t>
  </si>
  <si>
    <t>3. Improving ROA</t>
  </si>
  <si>
    <t>4. CFO exceeds net income</t>
  </si>
  <si>
    <t>5. Decreasing leverage (adapted)</t>
  </si>
  <si>
    <t>6. Improving current ratio</t>
  </si>
  <si>
    <t>N/A</t>
  </si>
  <si>
    <t>7. No equity dilution</t>
  </si>
  <si>
    <t>8. Improving gross margin</t>
  </si>
  <si>
    <t>9. Improving asset turnover</t>
  </si>
  <si>
    <t>Piotroski F-Score (out of 9)</t>
  </si>
  <si>
    <t>Interpretation</t>
  </si>
  <si>
    <t>8-9 Strong</t>
  </si>
  <si>
    <t>6-7 Average to Good</t>
  </si>
  <si>
    <t>3-5 Weak, Investigate</t>
  </si>
  <si>
    <t>0-2 Poor, High Risk</t>
  </si>
  <si>
    <t>ModelSheet='Portfolio Analysis'!A:V</t>
  </si>
  <si>
    <t>OpenSolver_AdjNum=1</t>
  </si>
  <si>
    <t>OpenSolver_ChosenSolver=Google</t>
  </si>
  <si>
    <t>OpenSolver_FastBuild=0</t>
  </si>
  <si>
    <t>OpenSolver_LinearityCheck=1</t>
  </si>
  <si>
    <t>solver_adj='Portfolio Analysis'!B42:B44</t>
  </si>
  <si>
    <t>solver_lhs1='Portfolio Analysis'!B45</t>
  </si>
  <si>
    <t>solver_neg=1</t>
  </si>
  <si>
    <t>solver_num=1</t>
  </si>
  <si>
    <t>solver_opt='Portfolio Analysis'!G44</t>
  </si>
  <si>
    <t>solver_rel1=2</t>
  </si>
  <si>
    <t>solver_rhs1='Portfolio Analysis'!K15</t>
  </si>
  <si>
    <t>solver_sho=1</t>
  </si>
  <si>
    <t>solver_typ=1</t>
  </si>
  <si>
    <t>solver_val=0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</si>
</sst>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m\-yyyy"/>
    <numFmt numFmtId="165" formatCode="mmmm\-yyyy"/>
    <numFmt numFmtId="166" formatCode="#,##0;\(#,##0\)"/>
    <numFmt numFmtId="167" formatCode="0.0000"/>
    <numFmt numFmtId="168" formatCode="[$₹]###,##0.00"/>
    <numFmt numFmtId="169" formatCode="0.0000%"/>
    <numFmt numFmtId="170" formatCode="[$₹]###,##0"/>
    <numFmt numFmtId="171" formatCode="0.0%"/>
    <numFmt numFmtId="172" formatCode="0.00\x"/>
    <numFmt numFmtId="173" formatCode="#,##0.00;\-#,##0.00;\—"/>
  </numFmts>
  <fonts count="37" x14ac:knownFonts="1">
    <font>
      <sz val="10"/>
      <color rgb="FF000000"/>
      <name val="Arial"/>
      <charset val="1"/>
    </font>
    <font>
      <sz val="11"/>
      <color theme="1"/>
      <name val="Arial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5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3"/>
      <color rgb="FF000000"/>
      <name val="Arial"/>
      <family val="2"/>
    </font>
    <font>
      <sz val="13"/>
      <color rgb="FF000000"/>
      <name val="Arial"/>
      <family val="2"/>
    </font>
    <font>
      <b/>
      <sz val="16"/>
      <color rgb="FF000000"/>
      <name val="Arial"/>
      <family val="2"/>
    </font>
    <font>
      <i/>
      <sz val="9"/>
      <color rgb="FF000000"/>
      <name val="Calibri"/>
      <family val="2"/>
    </font>
    <font>
      <i/>
      <sz val="11"/>
      <name val="Calibri"/>
      <family val="2"/>
    </font>
    <font>
      <b/>
      <sz val="15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color rgb="FF000000"/>
      <name val="Calibri"/>
      <family val="2"/>
    </font>
    <font>
      <sz val="12"/>
      <color rgb="FF404040"/>
      <name val="Calibri"/>
      <family val="2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theme="0"/>
      <name val="Arial"/>
      <family val="2"/>
    </font>
    <font>
      <sz val="11"/>
      <name val="Calibri"/>
      <family val="2"/>
    </font>
    <font>
      <b/>
      <sz val="11"/>
      <color rgb="FFFFFFFF"/>
      <name val="Arial"/>
      <family val="2"/>
      <scheme val="major"/>
    </font>
    <font>
      <sz val="11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sz val="11"/>
      <color rgb="FF000000"/>
      <name val="Arial"/>
      <family val="2"/>
      <scheme val="major"/>
    </font>
    <font>
      <b/>
      <sz val="11"/>
      <color theme="1"/>
      <name val="Arial"/>
      <family val="2"/>
      <scheme val="major"/>
    </font>
    <font>
      <b/>
      <sz val="11"/>
      <color rgb="FFFFFFFF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17365D"/>
        <bgColor rgb="FF1F4E78"/>
      </patternFill>
    </fill>
    <fill>
      <patternFill patternType="solid">
        <fgColor rgb="FFD9D2E9"/>
        <bgColor rgb="FFD9E1F2"/>
      </patternFill>
    </fill>
    <fill>
      <patternFill patternType="solid">
        <fgColor theme="9"/>
        <bgColor rgb="FF5B9BD5"/>
      </patternFill>
    </fill>
    <fill>
      <patternFill patternType="solid">
        <fgColor rgb="FFA2C4C9"/>
        <bgColor rgb="FFBFBFBF"/>
      </patternFill>
    </fill>
    <fill>
      <patternFill patternType="solid">
        <fgColor rgb="FF0000FF"/>
        <bgColor rgb="FF0000FF"/>
      </patternFill>
    </fill>
    <fill>
      <patternFill patternType="solid">
        <fgColor rgb="FFD0E0E3"/>
        <bgColor rgb="FFD9E1F2"/>
      </patternFill>
    </fill>
    <fill>
      <patternFill patternType="solid">
        <fgColor rgb="FF70AD47"/>
        <bgColor rgb="FF339966"/>
      </patternFill>
    </fill>
    <fill>
      <patternFill patternType="solid">
        <fgColor rgb="FF5B9BD5"/>
        <bgColor rgb="FF4A86E8"/>
      </patternFill>
    </fill>
    <fill>
      <patternFill patternType="solid">
        <fgColor theme="4"/>
        <bgColor rgb="FF4A86E8"/>
      </patternFill>
    </fill>
    <fill>
      <patternFill patternType="solid">
        <fgColor rgb="FFFFFFFF"/>
        <bgColor rgb="FFFFF2CC"/>
      </patternFill>
    </fill>
    <fill>
      <patternFill patternType="solid">
        <fgColor rgb="FFD9E1F2"/>
        <bgColor rgb="FFD0E0E3"/>
      </patternFill>
    </fill>
    <fill>
      <patternFill patternType="solid">
        <fgColor rgb="FF4A86E8"/>
        <bgColor rgb="FF4285F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4D6"/>
      </patternFill>
    </fill>
    <fill>
      <patternFill patternType="solid">
        <fgColor theme="8" tint="0.39997558519241921"/>
        <bgColor rgb="FFB4A7D6"/>
      </patternFill>
    </fill>
    <fill>
      <patternFill patternType="solid">
        <fgColor theme="8" tint="0.39997558519241921"/>
        <bgColor rgb="FFFFF2CC"/>
      </patternFill>
    </fill>
    <fill>
      <patternFill patternType="solid">
        <fgColor theme="6" tint="0.59999389629810485"/>
        <bgColor rgb="FFD5A6BD"/>
      </patternFill>
    </fill>
    <fill>
      <patternFill patternType="solid">
        <fgColor theme="6" tint="0.59999389629810485"/>
        <bgColor rgb="FFFFF2CC"/>
      </patternFill>
    </fill>
    <fill>
      <patternFill patternType="solid">
        <fgColor theme="9" tint="0.59999389629810485"/>
        <bgColor rgb="FFD9D2E9"/>
      </patternFill>
    </fill>
    <fill>
      <patternFill patternType="solid">
        <fgColor theme="9" tint="0.59999389629810485"/>
        <bgColor rgb="FFFFF2CC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rgb="FF5B9BD5"/>
      </patternFill>
    </fill>
    <fill>
      <patternFill patternType="solid">
        <fgColor theme="5" tint="0.59999389629810485"/>
        <bgColor rgb="FFFFF2CC"/>
      </patternFill>
    </fill>
    <fill>
      <patternFill patternType="solid">
        <fgColor theme="9" tint="0.39997558519241921"/>
        <bgColor rgb="FFD5A6BD"/>
      </patternFill>
    </fill>
    <fill>
      <patternFill patternType="solid">
        <fgColor theme="9" tint="0.39997558519241921"/>
        <bgColor rgb="FFFFF2CC"/>
      </patternFill>
    </fill>
    <fill>
      <patternFill patternType="solid">
        <fgColor theme="6" tint="0.39997558519241921"/>
        <bgColor rgb="FFFFF2CC"/>
      </patternFill>
    </fill>
    <fill>
      <patternFill patternType="solid">
        <fgColor theme="6" tint="0.39997558519241921"/>
        <bgColor rgb="FF0000FF"/>
      </patternFill>
    </fill>
    <fill>
      <patternFill patternType="solid">
        <fgColor theme="6" tint="0.59999389629810485"/>
        <bgColor rgb="FF4A86E8"/>
      </patternFill>
    </fill>
    <fill>
      <patternFill patternType="solid">
        <fgColor theme="6" tint="0.59999389629810485"/>
        <bgColor rgb="FF0000FF"/>
      </patternFill>
    </fill>
    <fill>
      <patternFill patternType="solid">
        <fgColor theme="7" tint="0.59999389629810485"/>
        <bgColor rgb="FFB4A7D6"/>
      </patternFill>
    </fill>
    <fill>
      <patternFill patternType="solid">
        <fgColor theme="7" tint="0.59999389629810485"/>
        <bgColor rgb="FF0000FF"/>
      </patternFill>
    </fill>
    <fill>
      <patternFill patternType="solid">
        <fgColor theme="7" tint="0.59999389629810485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4A7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9" fillId="10" borderId="0" xfId="0" applyFont="1" applyFill="1"/>
    <xf numFmtId="0" fontId="16" fillId="13" borderId="1" xfId="0" applyFont="1" applyFill="1" applyBorder="1"/>
    <xf numFmtId="0" fontId="6" fillId="0" borderId="0" xfId="0" applyFont="1"/>
    <xf numFmtId="0" fontId="16" fillId="10" borderId="1" xfId="0" applyFont="1" applyFill="1" applyBorder="1"/>
    <xf numFmtId="0" fontId="14" fillId="10" borderId="1" xfId="0" applyFont="1" applyFill="1" applyBorder="1"/>
    <xf numFmtId="0" fontId="10" fillId="11" borderId="1" xfId="0" applyFont="1" applyFill="1" applyBorder="1"/>
    <xf numFmtId="0" fontId="9" fillId="9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4" fontId="5" fillId="3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0" fontId="7" fillId="0" borderId="1" xfId="0" applyNumberFormat="1" applyFont="1" applyBorder="1" applyAlignment="1">
      <alignment horizontal="left"/>
    </xf>
    <xf numFmtId="165" fontId="7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10" fontId="6" fillId="0" borderId="1" xfId="0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10" fontId="8" fillId="6" borderId="1" xfId="0" applyNumberFormat="1" applyFont="1" applyFill="1" applyBorder="1" applyAlignment="1">
      <alignment horizontal="left"/>
    </xf>
    <xf numFmtId="166" fontId="7" fillId="0" borderId="1" xfId="0" applyNumberFormat="1" applyFont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6" fillId="0" borderId="1" xfId="0" applyFont="1" applyBorder="1"/>
    <xf numFmtId="0" fontId="5" fillId="2" borderId="1" xfId="0" applyFont="1" applyFill="1" applyBorder="1" applyAlignment="1">
      <alignment horizontal="center"/>
    </xf>
    <xf numFmtId="4" fontId="6" fillId="0" borderId="1" xfId="0" applyNumberFormat="1" applyFont="1" applyBorder="1"/>
    <xf numFmtId="0" fontId="8" fillId="0" borderId="1" xfId="0" applyFont="1" applyBorder="1"/>
    <xf numFmtId="4" fontId="8" fillId="0" borderId="1" xfId="0" applyNumberFormat="1" applyFont="1" applyBorder="1"/>
    <xf numFmtId="0" fontId="8" fillId="0" borderId="0" xfId="0" applyFont="1"/>
    <xf numFmtId="0" fontId="11" fillId="12" borderId="1" xfId="0" applyFont="1" applyFill="1" applyBorder="1"/>
    <xf numFmtId="0" fontId="12" fillId="5" borderId="1" xfId="0" applyFont="1" applyFill="1" applyBorder="1"/>
    <xf numFmtId="0" fontId="13" fillId="12" borderId="1" xfId="0" applyFont="1" applyFill="1" applyBorder="1"/>
    <xf numFmtId="10" fontId="13" fillId="12" borderId="1" xfId="0" applyNumberFormat="1" applyFont="1" applyFill="1" applyBorder="1" applyAlignment="1">
      <alignment horizontal="right"/>
    </xf>
    <xf numFmtId="0" fontId="13" fillId="12" borderId="0" xfId="0" applyFont="1" applyFill="1"/>
    <xf numFmtId="0" fontId="12" fillId="2" borderId="1" xfId="0" applyFont="1" applyFill="1" applyBorder="1"/>
    <xf numFmtId="0" fontId="15" fillId="12" borderId="0" xfId="0" applyFont="1" applyFill="1"/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171" fontId="6" fillId="0" borderId="1" xfId="0" applyNumberFormat="1" applyFont="1" applyBorder="1" applyAlignment="1">
      <alignment horizontal="center"/>
    </xf>
    <xf numFmtId="0" fontId="7" fillId="12" borderId="0" xfId="0" applyFont="1" applyFill="1"/>
    <xf numFmtId="0" fontId="7" fillId="12" borderId="1" xfId="0" applyFont="1" applyFill="1" applyBorder="1"/>
    <xf numFmtId="0" fontId="5" fillId="3" borderId="1" xfId="0" applyFont="1" applyFill="1" applyBorder="1" applyAlignment="1">
      <alignment horizontal="center"/>
    </xf>
    <xf numFmtId="173" fontId="6" fillId="0" borderId="1" xfId="0" applyNumberFormat="1" applyFont="1" applyBorder="1" applyAlignment="1">
      <alignment horizontal="right"/>
    </xf>
    <xf numFmtId="0" fontId="9" fillId="12" borderId="0" xfId="0" applyFont="1" applyFill="1"/>
    <xf numFmtId="0" fontId="3" fillId="12" borderId="0" xfId="0" applyFont="1" applyFill="1"/>
    <xf numFmtId="4" fontId="3" fillId="12" borderId="0" xfId="0" applyNumberFormat="1" applyFont="1" applyFill="1"/>
    <xf numFmtId="0" fontId="6" fillId="0" borderId="0" xfId="0" applyFont="1"/>
    <xf numFmtId="0" fontId="5" fillId="2" borderId="1" xfId="0" applyFont="1" applyFill="1" applyBorder="1"/>
    <xf numFmtId="0" fontId="17" fillId="12" borderId="1" xfId="0" applyFont="1" applyFill="1" applyBorder="1"/>
    <xf numFmtId="0" fontId="11" fillId="14" borderId="1" xfId="0" applyFont="1" applyFill="1" applyBorder="1" applyAlignment="1">
      <alignment horizontal="center"/>
    </xf>
    <xf numFmtId="0" fontId="12" fillId="3" borderId="1" xfId="0" applyFont="1" applyFill="1" applyBorder="1"/>
    <xf numFmtId="0" fontId="13" fillId="0" borderId="1" xfId="0" applyFont="1" applyBorder="1" applyAlignment="1">
      <alignment vertical="top"/>
    </xf>
    <xf numFmtId="4" fontId="13" fillId="0" borderId="1" xfId="0" applyNumberFormat="1" applyFont="1" applyBorder="1" applyAlignment="1">
      <alignment horizontal="right" vertical="top"/>
    </xf>
    <xf numFmtId="0" fontId="4" fillId="3" borderId="1" xfId="0" applyFont="1" applyFill="1" applyBorder="1"/>
    <xf numFmtId="0" fontId="23" fillId="0" borderId="0" xfId="0" applyFont="1"/>
    <xf numFmtId="0" fontId="24" fillId="0" borderId="0" xfId="0" applyFont="1"/>
    <xf numFmtId="164" fontId="26" fillId="15" borderId="1" xfId="0" applyNumberFormat="1" applyFont="1" applyFill="1" applyBorder="1" applyAlignment="1">
      <alignment horizontal="left"/>
    </xf>
    <xf numFmtId="0" fontId="26" fillId="15" borderId="1" xfId="0" applyFont="1" applyFill="1" applyBorder="1" applyAlignment="1">
      <alignment horizontal="left"/>
    </xf>
    <xf numFmtId="4" fontId="26" fillId="15" borderId="1" xfId="0" applyNumberFormat="1" applyFont="1" applyFill="1" applyBorder="1" applyAlignment="1">
      <alignment horizontal="left"/>
    </xf>
    <xf numFmtId="10" fontId="26" fillId="15" borderId="1" xfId="0" applyNumberFormat="1" applyFont="1" applyFill="1" applyBorder="1" applyAlignment="1">
      <alignment horizontal="left"/>
    </xf>
    <xf numFmtId="165" fontId="26" fillId="15" borderId="1" xfId="0" applyNumberFormat="1" applyFont="1" applyFill="1" applyBorder="1" applyAlignment="1">
      <alignment horizontal="left"/>
    </xf>
    <xf numFmtId="4" fontId="26" fillId="16" borderId="1" xfId="0" applyNumberFormat="1" applyFont="1" applyFill="1" applyBorder="1" applyAlignment="1">
      <alignment horizontal="left"/>
    </xf>
    <xf numFmtId="0" fontId="27" fillId="23" borderId="1" xfId="0" applyFont="1" applyFill="1" applyBorder="1" applyAlignment="1">
      <alignment horizontal="left" vertical="top"/>
    </xf>
    <xf numFmtId="0" fontId="27" fillId="23" borderId="0" xfId="0" applyFont="1" applyFill="1" applyAlignment="1">
      <alignment horizontal="left"/>
    </xf>
    <xf numFmtId="0" fontId="27" fillId="23" borderId="1" xfId="0" applyFont="1" applyFill="1" applyBorder="1" applyAlignment="1">
      <alignment horizontal="left"/>
    </xf>
    <xf numFmtId="0" fontId="8" fillId="24" borderId="1" xfId="0" applyFont="1" applyFill="1" applyBorder="1" applyAlignment="1">
      <alignment horizontal="left"/>
    </xf>
    <xf numFmtId="10" fontId="8" fillId="25" borderId="1" xfId="0" applyNumberFormat="1" applyFont="1" applyFill="1" applyBorder="1" applyAlignment="1">
      <alignment horizontal="left"/>
    </xf>
    <xf numFmtId="0" fontId="7" fillId="26" borderId="1" xfId="0" applyFont="1" applyFill="1" applyBorder="1" applyAlignment="1">
      <alignment horizontal="left"/>
    </xf>
    <xf numFmtId="10" fontId="7" fillId="27" borderId="1" xfId="0" applyNumberFormat="1" applyFont="1" applyFill="1" applyBorder="1" applyAlignment="1">
      <alignment horizontal="left"/>
    </xf>
    <xf numFmtId="10" fontId="6" fillId="27" borderId="1" xfId="0" applyNumberFormat="1" applyFont="1" applyFill="1" applyBorder="1" applyAlignment="1">
      <alignment horizontal="left"/>
    </xf>
    <xf numFmtId="167" fontId="7" fillId="27" borderId="1" xfId="0" applyNumberFormat="1" applyFont="1" applyFill="1" applyBorder="1" applyAlignment="1">
      <alignment horizontal="left"/>
    </xf>
    <xf numFmtId="167" fontId="6" fillId="26" borderId="1" xfId="0" applyNumberFormat="1" applyFont="1" applyFill="1" applyBorder="1" applyAlignment="1">
      <alignment horizontal="left"/>
    </xf>
    <xf numFmtId="10" fontId="6" fillId="26" borderId="1" xfId="0" applyNumberFormat="1" applyFont="1" applyFill="1" applyBorder="1" applyAlignment="1">
      <alignment horizontal="left"/>
    </xf>
    <xf numFmtId="0" fontId="9" fillId="28" borderId="1" xfId="0" applyFont="1" applyFill="1" applyBorder="1" applyAlignment="1">
      <alignment horizontal="left"/>
    </xf>
    <xf numFmtId="0" fontId="5" fillId="29" borderId="1" xfId="0" applyFont="1" applyFill="1" applyBorder="1" applyAlignment="1">
      <alignment horizontal="left"/>
    </xf>
    <xf numFmtId="0" fontId="7" fillId="28" borderId="1" xfId="0" applyFont="1" applyFill="1" applyBorder="1" applyAlignment="1">
      <alignment horizontal="left"/>
    </xf>
    <xf numFmtId="10" fontId="7" fillId="28" borderId="1" xfId="0" applyNumberFormat="1" applyFont="1" applyFill="1" applyBorder="1" applyAlignment="1">
      <alignment horizontal="left"/>
    </xf>
    <xf numFmtId="168" fontId="7" fillId="28" borderId="1" xfId="0" applyNumberFormat="1" applyFont="1" applyFill="1" applyBorder="1" applyAlignment="1">
      <alignment horizontal="left"/>
    </xf>
    <xf numFmtId="167" fontId="7" fillId="28" borderId="1" xfId="0" applyNumberFormat="1" applyFont="1" applyFill="1" applyBorder="1" applyAlignment="1">
      <alignment horizontal="left"/>
    </xf>
    <xf numFmtId="0" fontId="9" fillId="30" borderId="1" xfId="0" applyFont="1" applyFill="1" applyBorder="1" applyAlignment="1">
      <alignment horizontal="left"/>
    </xf>
    <xf numFmtId="0" fontId="5" fillId="31" borderId="1" xfId="0" applyFont="1" applyFill="1" applyBorder="1" applyAlignment="1">
      <alignment horizontal="left"/>
    </xf>
    <xf numFmtId="0" fontId="7" fillId="30" borderId="1" xfId="0" applyFont="1" applyFill="1" applyBorder="1" applyAlignment="1">
      <alignment horizontal="left"/>
    </xf>
    <xf numFmtId="169" fontId="7" fillId="20" borderId="1" xfId="0" applyNumberFormat="1" applyFont="1" applyFill="1" applyBorder="1" applyAlignment="1">
      <alignment horizontal="left"/>
    </xf>
    <xf numFmtId="10" fontId="7" fillId="20" borderId="1" xfId="0" applyNumberFormat="1" applyFont="1" applyFill="1" applyBorder="1" applyAlignment="1">
      <alignment horizontal="left"/>
    </xf>
    <xf numFmtId="170" fontId="7" fillId="20" borderId="1" xfId="0" applyNumberFormat="1" applyFont="1" applyFill="1" applyBorder="1" applyAlignment="1">
      <alignment horizontal="left"/>
    </xf>
    <xf numFmtId="167" fontId="7" fillId="20" borderId="1" xfId="0" applyNumberFormat="1" applyFont="1" applyFill="1" applyBorder="1" applyAlignment="1">
      <alignment horizontal="left"/>
    </xf>
    <xf numFmtId="0" fontId="9" fillId="32" borderId="1" xfId="0" applyFont="1" applyFill="1" applyBorder="1" applyAlignment="1">
      <alignment horizontal="left"/>
    </xf>
    <xf numFmtId="0" fontId="5" fillId="33" borderId="1" xfId="0" applyFont="1" applyFill="1" applyBorder="1" applyAlignment="1">
      <alignment horizontal="left"/>
    </xf>
    <xf numFmtId="0" fontId="7" fillId="32" borderId="1" xfId="0" applyFont="1" applyFill="1" applyBorder="1" applyAlignment="1">
      <alignment horizontal="left"/>
    </xf>
    <xf numFmtId="169" fontId="7" fillId="34" borderId="1" xfId="0" applyNumberFormat="1" applyFont="1" applyFill="1" applyBorder="1" applyAlignment="1">
      <alignment horizontal="left"/>
    </xf>
    <xf numFmtId="10" fontId="7" fillId="34" borderId="1" xfId="0" applyNumberFormat="1" applyFont="1" applyFill="1" applyBorder="1" applyAlignment="1">
      <alignment horizontal="left"/>
    </xf>
    <xf numFmtId="170" fontId="7" fillId="34" borderId="1" xfId="0" applyNumberFormat="1" applyFont="1" applyFill="1" applyBorder="1" applyAlignment="1">
      <alignment horizontal="left"/>
    </xf>
    <xf numFmtId="167" fontId="7" fillId="34" borderId="1" xfId="0" applyNumberFormat="1" applyFont="1" applyFill="1" applyBorder="1" applyAlignment="1">
      <alignment horizontal="left"/>
    </xf>
    <xf numFmtId="0" fontId="6" fillId="15" borderId="1" xfId="0" applyFont="1" applyFill="1" applyBorder="1"/>
    <xf numFmtId="4" fontId="6" fillId="15" borderId="1" xfId="0" applyNumberFormat="1" applyFont="1" applyFill="1" applyBorder="1"/>
    <xf numFmtId="0" fontId="8" fillId="15" borderId="1" xfId="0" applyFont="1" applyFill="1" applyBorder="1"/>
    <xf numFmtId="4" fontId="8" fillId="15" borderId="1" xfId="0" applyNumberFormat="1" applyFont="1" applyFill="1" applyBorder="1"/>
    <xf numFmtId="0" fontId="6" fillId="35" borderId="1" xfId="0" applyFont="1" applyFill="1" applyBorder="1"/>
    <xf numFmtId="0" fontId="11" fillId="35" borderId="1" xfId="0" applyFont="1" applyFill="1" applyBorder="1"/>
    <xf numFmtId="0" fontId="13" fillId="35" borderId="1" xfId="0" applyFont="1" applyFill="1" applyBorder="1"/>
    <xf numFmtId="10" fontId="13" fillId="35" borderId="1" xfId="0" applyNumberFormat="1" applyFont="1" applyFill="1" applyBorder="1" applyAlignment="1">
      <alignment horizontal="right"/>
    </xf>
    <xf numFmtId="10" fontId="11" fillId="35" borderId="1" xfId="0" applyNumberFormat="1" applyFont="1" applyFill="1" applyBorder="1" applyAlignment="1">
      <alignment horizontal="right"/>
    </xf>
    <xf numFmtId="0" fontId="6" fillId="15" borderId="1" xfId="0" applyFont="1" applyFill="1" applyBorder="1" applyAlignment="1">
      <alignment horizontal="left"/>
    </xf>
    <xf numFmtId="172" fontId="6" fillId="35" borderId="1" xfId="0" applyNumberFormat="1" applyFont="1" applyFill="1" applyBorder="1" applyAlignment="1">
      <alignment horizontal="center"/>
    </xf>
    <xf numFmtId="0" fontId="8" fillId="15" borderId="1" xfId="0" applyFont="1" applyFill="1" applyBorder="1" applyAlignment="1">
      <alignment horizontal="left"/>
    </xf>
    <xf numFmtId="171" fontId="6" fillId="35" borderId="1" xfId="0" applyNumberFormat="1" applyFont="1" applyFill="1" applyBorder="1" applyAlignment="1">
      <alignment horizontal="center"/>
    </xf>
    <xf numFmtId="4" fontId="6" fillId="16" borderId="1" xfId="0" applyNumberFormat="1" applyFont="1" applyFill="1" applyBorder="1"/>
    <xf numFmtId="0" fontId="8" fillId="35" borderId="1" xfId="0" applyFont="1" applyFill="1" applyBorder="1"/>
    <xf numFmtId="173" fontId="6" fillId="15" borderId="1" xfId="0" applyNumberFormat="1" applyFont="1" applyFill="1" applyBorder="1" applyAlignment="1">
      <alignment horizontal="right"/>
    </xf>
    <xf numFmtId="10" fontId="6" fillId="15" borderId="1" xfId="0" applyNumberFormat="1" applyFont="1" applyFill="1" applyBorder="1" applyAlignment="1">
      <alignment horizontal="right"/>
    </xf>
    <xf numFmtId="10" fontId="6" fillId="35" borderId="1" xfId="0" applyNumberFormat="1" applyFont="1" applyFill="1" applyBorder="1" applyAlignment="1">
      <alignment horizontal="right"/>
    </xf>
    <xf numFmtId="173" fontId="6" fillId="15" borderId="1" xfId="0" applyNumberFormat="1" applyFont="1" applyFill="1" applyBorder="1"/>
    <xf numFmtId="4" fontId="13" fillId="35" borderId="1" xfId="0" applyNumberFormat="1" applyFont="1" applyFill="1" applyBorder="1" applyAlignment="1">
      <alignment horizontal="right"/>
    </xf>
    <xf numFmtId="4" fontId="11" fillId="35" borderId="1" xfId="0" applyNumberFormat="1" applyFont="1" applyFill="1" applyBorder="1" applyAlignment="1">
      <alignment horizontal="right"/>
    </xf>
    <xf numFmtId="0" fontId="18" fillId="15" borderId="0" xfId="0" applyFont="1" applyFill="1"/>
    <xf numFmtId="4" fontId="18" fillId="15" borderId="0" xfId="0" applyNumberFormat="1" applyFont="1" applyFill="1"/>
    <xf numFmtId="0" fontId="13" fillId="15" borderId="1" xfId="0" applyFont="1" applyFill="1" applyBorder="1" applyAlignment="1">
      <alignment vertical="top"/>
    </xf>
    <xf numFmtId="4" fontId="13" fillId="15" borderId="1" xfId="0" applyNumberFormat="1" applyFont="1" applyFill="1" applyBorder="1" applyAlignment="1">
      <alignment horizontal="right" vertical="top"/>
    </xf>
    <xf numFmtId="0" fontId="13" fillId="35" borderId="1" xfId="0" applyFont="1" applyFill="1" applyBorder="1" applyAlignment="1">
      <alignment vertical="top"/>
    </xf>
    <xf numFmtId="0" fontId="13" fillId="15" borderId="1" xfId="0" applyFont="1" applyFill="1" applyBorder="1" applyAlignment="1">
      <alignment horizontal="right" vertical="top"/>
    </xf>
    <xf numFmtId="10" fontId="13" fillId="35" borderId="1" xfId="0" applyNumberFormat="1" applyFont="1" applyFill="1" applyBorder="1" applyAlignment="1">
      <alignment vertical="top"/>
    </xf>
    <xf numFmtId="10" fontId="13" fillId="15" borderId="1" xfId="0" applyNumberFormat="1" applyFont="1" applyFill="1" applyBorder="1" applyAlignment="1">
      <alignment horizontal="right" vertical="top"/>
    </xf>
    <xf numFmtId="4" fontId="28" fillId="35" borderId="0" xfId="0" applyNumberFormat="1" applyFont="1" applyFill="1"/>
    <xf numFmtId="0" fontId="0" fillId="15" borderId="1" xfId="0" applyFill="1" applyBorder="1" applyAlignment="1">
      <alignment vertical="top"/>
    </xf>
    <xf numFmtId="1" fontId="0" fillId="35" borderId="1" xfId="0" applyNumberFormat="1" applyFill="1" applyBorder="1" applyAlignment="1">
      <alignment horizontal="right" vertical="top"/>
    </xf>
    <xf numFmtId="0" fontId="20" fillId="36" borderId="0" xfId="0" applyFont="1" applyFill="1"/>
    <xf numFmtId="0" fontId="21" fillId="35" borderId="1" xfId="0" applyFont="1" applyFill="1" applyBorder="1"/>
    <xf numFmtId="0" fontId="22" fillId="15" borderId="0" xfId="0" applyFont="1" applyFill="1"/>
    <xf numFmtId="0" fontId="0" fillId="35" borderId="0" xfId="0" applyFill="1"/>
    <xf numFmtId="171" fontId="0" fillId="35" borderId="0" xfId="0" applyNumberFormat="1" applyFill="1"/>
    <xf numFmtId="0" fontId="29" fillId="2" borderId="1" xfId="0" applyFont="1" applyFill="1" applyBorder="1" applyAlignment="1">
      <alignment horizontal="left" vertical="top"/>
    </xf>
    <xf numFmtId="0" fontId="29" fillId="2" borderId="0" xfId="0" applyFont="1" applyFill="1" applyAlignment="1">
      <alignment horizontal="left"/>
    </xf>
    <xf numFmtId="0" fontId="29" fillId="2" borderId="1" xfId="0" applyFont="1" applyFill="1" applyBorder="1" applyAlignment="1">
      <alignment horizontal="left"/>
    </xf>
    <xf numFmtId="0" fontId="30" fillId="0" borderId="0" xfId="0" applyFont="1" applyAlignment="1">
      <alignment horizontal="left"/>
    </xf>
    <xf numFmtId="10" fontId="30" fillId="0" borderId="0" xfId="0" applyNumberFormat="1" applyFont="1" applyAlignment="1">
      <alignment horizontal="left"/>
    </xf>
    <xf numFmtId="0" fontId="31" fillId="0" borderId="0" xfId="0" applyFont="1"/>
    <xf numFmtId="164" fontId="32" fillId="0" borderId="1" xfId="0" applyNumberFormat="1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33" fillId="19" borderId="1" xfId="0" applyFont="1" applyFill="1" applyBorder="1" applyAlignment="1">
      <alignment horizontal="left"/>
    </xf>
    <xf numFmtId="0" fontId="30" fillId="20" borderId="1" xfId="0" applyFont="1" applyFill="1" applyBorder="1" applyAlignment="1">
      <alignment horizontal="left"/>
    </xf>
    <xf numFmtId="10" fontId="30" fillId="0" borderId="1" xfId="0" applyNumberFormat="1" applyFont="1" applyBorder="1" applyAlignment="1">
      <alignment horizontal="left"/>
    </xf>
    <xf numFmtId="0" fontId="33" fillId="17" borderId="1" xfId="0" applyFont="1" applyFill="1" applyBorder="1" applyAlignment="1">
      <alignment horizontal="left"/>
    </xf>
    <xf numFmtId="10" fontId="30" fillId="18" borderId="1" xfId="0" applyNumberFormat="1" applyFont="1" applyFill="1" applyBorder="1" applyAlignment="1">
      <alignment horizontal="left"/>
    </xf>
    <xf numFmtId="10" fontId="30" fillId="17" borderId="1" xfId="0" applyNumberFormat="1" applyFont="1" applyFill="1" applyBorder="1" applyAlignment="1">
      <alignment horizontal="left"/>
    </xf>
    <xf numFmtId="0" fontId="30" fillId="19" borderId="1" xfId="0" applyFont="1" applyFill="1" applyBorder="1" applyAlignment="1">
      <alignment horizontal="left"/>
    </xf>
    <xf numFmtId="0" fontId="30" fillId="18" borderId="1" xfId="0" applyFont="1" applyFill="1" applyBorder="1" applyAlignment="1">
      <alignment horizontal="left"/>
    </xf>
    <xf numFmtId="0" fontId="30" fillId="17" borderId="1" xfId="0" applyFont="1" applyFill="1" applyBorder="1" applyAlignment="1">
      <alignment horizontal="left"/>
    </xf>
    <xf numFmtId="10" fontId="30" fillId="20" borderId="1" xfId="0" applyNumberFormat="1" applyFont="1" applyFill="1" applyBorder="1" applyAlignment="1">
      <alignment horizontal="left"/>
    </xf>
    <xf numFmtId="165" fontId="32" fillId="0" borderId="1" xfId="0" applyNumberFormat="1" applyFont="1" applyBorder="1" applyAlignment="1">
      <alignment horizontal="left"/>
    </xf>
    <xf numFmtId="0" fontId="34" fillId="2" borderId="1" xfId="0" applyFont="1" applyFill="1" applyBorder="1" applyAlignment="1">
      <alignment horizontal="left" vertical="top"/>
    </xf>
    <xf numFmtId="0" fontId="34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35" fillId="0" borderId="0" xfId="0" applyFont="1" applyAlignment="1">
      <alignment horizontal="left" vertical="top"/>
    </xf>
    <xf numFmtId="0" fontId="25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36" fillId="0" borderId="0" xfId="0" applyFont="1"/>
    <xf numFmtId="164" fontId="26" fillId="0" borderId="1" xfId="0" applyNumberFormat="1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26" fillId="0" borderId="0" xfId="0" applyNumberFormat="1" applyFont="1" applyAlignment="1">
      <alignment horizontal="left"/>
    </xf>
    <xf numFmtId="0" fontId="26" fillId="0" borderId="0" xfId="0" applyFont="1" applyAlignment="1">
      <alignment horizontal="left"/>
    </xf>
    <xf numFmtId="10" fontId="1" fillId="0" borderId="1" xfId="0" applyNumberFormat="1" applyFont="1" applyBorder="1" applyAlignment="1">
      <alignment horizontal="left"/>
    </xf>
    <xf numFmtId="0" fontId="25" fillId="21" borderId="1" xfId="0" applyFont="1" applyFill="1" applyBorder="1" applyAlignment="1">
      <alignment horizontal="left"/>
    </xf>
    <xf numFmtId="0" fontId="25" fillId="4" borderId="1" xfId="0" applyFont="1" applyFill="1" applyBorder="1" applyAlignment="1">
      <alignment horizontal="left"/>
    </xf>
    <xf numFmtId="10" fontId="25" fillId="4" borderId="1" xfId="0" applyNumberFormat="1" applyFont="1" applyFill="1" applyBorder="1" applyAlignment="1">
      <alignment horizontal="left"/>
    </xf>
    <xf numFmtId="10" fontId="25" fillId="22" borderId="1" xfId="0" applyNumberFormat="1" applyFont="1" applyFill="1" applyBorder="1" applyAlignment="1">
      <alignment horizontal="left"/>
    </xf>
    <xf numFmtId="165" fontId="26" fillId="0" borderId="1" xfId="0" applyNumberFormat="1" applyFont="1" applyBorder="1" applyAlignment="1">
      <alignment horizontal="left"/>
    </xf>
    <xf numFmtId="165" fontId="2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B9BD5"/>
      <rgbColor rgb="FF8EA9DB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E599"/>
      <rgbColor rgb="FFA2C4C9"/>
      <rgbColor rgb="FFD5A6BD"/>
      <rgbColor rgb="FFB4A7D6"/>
      <rgbColor rgb="FFF4CCCC"/>
      <rgbColor rgb="FF4285F4"/>
      <rgbColor rgb="FF46BDC6"/>
      <rgbColor rgb="FFD0E0E3"/>
      <rgbColor rgb="FFFCE4D6"/>
      <rgbColor rgb="FFFF9900"/>
      <rgbColor rgb="FFFF6600"/>
      <rgbColor rgb="FF4A86E8"/>
      <rgbColor rgb="FF70AD47"/>
      <rgbColor rgb="FF17365D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Normal="100" workbookViewId="0">
      <selection activeCell="A2" sqref="A2:I106"/>
    </sheetView>
  </sheetViews>
  <sheetFormatPr defaultColWidth="12.6640625" defaultRowHeight="13.2" x14ac:dyDescent="0.25"/>
  <cols>
    <col min="1" max="1" width="9.88671875" bestFit="1" customWidth="1"/>
    <col min="2" max="2" width="21.109375" bestFit="1" customWidth="1"/>
    <col min="3" max="3" width="22.21875" bestFit="1" customWidth="1"/>
    <col min="4" max="4" width="14" bestFit="1" customWidth="1"/>
    <col min="5" max="5" width="15" bestFit="1" customWidth="1"/>
    <col min="6" max="6" width="14.77734375" bestFit="1" customWidth="1"/>
    <col min="7" max="7" width="15.77734375" bestFit="1" customWidth="1"/>
    <col min="8" max="8" width="15.88671875" bestFit="1" customWidth="1"/>
    <col min="9" max="9" width="16.88671875" bestFit="1" customWidth="1"/>
  </cols>
  <sheetData>
    <row r="1" spans="1:26" ht="13.8" x14ac:dyDescent="0.25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10" t="s">
        <v>17</v>
      </c>
      <c r="I1" s="9" t="s">
        <v>18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3.8" x14ac:dyDescent="0.25">
      <c r="A2" s="64">
        <v>43009</v>
      </c>
      <c r="B2" s="65">
        <v>677</v>
      </c>
      <c r="C2" s="65"/>
      <c r="D2" s="65">
        <v>430.98</v>
      </c>
      <c r="E2" s="65"/>
      <c r="F2" s="65">
        <v>662.1</v>
      </c>
      <c r="G2" s="65"/>
      <c r="H2" s="66">
        <v>10335.299999999999</v>
      </c>
      <c r="I2" s="65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3.8" x14ac:dyDescent="0.25">
      <c r="A3" s="64">
        <v>43040</v>
      </c>
      <c r="B3" s="65">
        <v>714.35</v>
      </c>
      <c r="C3" s="67">
        <f t="shared" ref="C3:C34" si="0">B3/B2-1</f>
        <v>5.5169867060561373E-2</v>
      </c>
      <c r="D3" s="65">
        <v>401.63</v>
      </c>
      <c r="E3" s="67">
        <f t="shared" ref="E3:E34" si="1">D3/D2-1</f>
        <v>-6.8100607916840694E-2</v>
      </c>
      <c r="F3" s="65">
        <v>654.9</v>
      </c>
      <c r="G3" s="67">
        <f t="shared" ref="G3:G34" si="2">F3/F2-1</f>
        <v>-1.0874490258269254E-2</v>
      </c>
      <c r="H3" s="66">
        <v>10226.549999999999</v>
      </c>
      <c r="I3" s="67">
        <f t="shared" ref="I3:I34" si="3">H3/H2-1</f>
        <v>-1.0522190937853781E-2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3.8" x14ac:dyDescent="0.25">
      <c r="A4" s="64">
        <v>43070</v>
      </c>
      <c r="B4" s="65">
        <v>775.5</v>
      </c>
      <c r="C4" s="67">
        <f t="shared" si="0"/>
        <v>8.5602295793378635E-2</v>
      </c>
      <c r="D4" s="65">
        <v>376.85</v>
      </c>
      <c r="E4" s="67">
        <f t="shared" si="1"/>
        <v>-6.1698578293454154E-2</v>
      </c>
      <c r="F4" s="65">
        <v>695.35</v>
      </c>
      <c r="G4" s="67">
        <f t="shared" si="2"/>
        <v>6.1765154985494064E-2</v>
      </c>
      <c r="H4" s="66">
        <v>10530.7</v>
      </c>
      <c r="I4" s="67">
        <f t="shared" si="3"/>
        <v>2.9741212823484187E-2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3.8" x14ac:dyDescent="0.25">
      <c r="A5" s="64">
        <v>43101</v>
      </c>
      <c r="B5" s="65">
        <v>786.9</v>
      </c>
      <c r="C5" s="67">
        <f t="shared" si="0"/>
        <v>1.4700193423597741E-2</v>
      </c>
      <c r="D5" s="65">
        <v>378.33</v>
      </c>
      <c r="E5" s="67">
        <f t="shared" si="1"/>
        <v>3.9272920260049471E-3</v>
      </c>
      <c r="F5" s="65">
        <v>660.65</v>
      </c>
      <c r="G5" s="67">
        <f t="shared" si="2"/>
        <v>-4.9902926583734852E-2</v>
      </c>
      <c r="H5" s="66">
        <v>11027.7</v>
      </c>
      <c r="I5" s="67">
        <f t="shared" si="3"/>
        <v>4.7195343139582402E-2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3.8" x14ac:dyDescent="0.25">
      <c r="A6" s="64">
        <v>43132</v>
      </c>
      <c r="B6" s="65">
        <v>794.8</v>
      </c>
      <c r="C6" s="67">
        <f t="shared" si="0"/>
        <v>1.003939509467533E-2</v>
      </c>
      <c r="D6" s="65">
        <v>360.58</v>
      </c>
      <c r="E6" s="67">
        <f t="shared" si="1"/>
        <v>-4.6916712922580817E-2</v>
      </c>
      <c r="F6" s="65">
        <v>694.5</v>
      </c>
      <c r="G6" s="67">
        <f t="shared" si="2"/>
        <v>5.1237417694694587E-2</v>
      </c>
      <c r="H6" s="66">
        <v>10492.85</v>
      </c>
      <c r="I6" s="67">
        <f t="shared" si="3"/>
        <v>-4.8500593958849092E-2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8" x14ac:dyDescent="0.25">
      <c r="A7" s="64">
        <v>43160</v>
      </c>
      <c r="B7" s="65">
        <v>793.85</v>
      </c>
      <c r="C7" s="67">
        <f t="shared" si="0"/>
        <v>-1.1952692501256967E-3</v>
      </c>
      <c r="D7" s="65">
        <v>367.05</v>
      </c>
      <c r="E7" s="67">
        <f t="shared" si="1"/>
        <v>1.7943313550391027E-2</v>
      </c>
      <c r="F7" s="65">
        <v>678.25</v>
      </c>
      <c r="G7" s="67">
        <f t="shared" si="2"/>
        <v>-2.3398128149748065E-2</v>
      </c>
      <c r="H7" s="66">
        <v>10113.700000000001</v>
      </c>
      <c r="I7" s="67">
        <f t="shared" si="3"/>
        <v>-3.6134129430993478E-2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3.8" x14ac:dyDescent="0.25">
      <c r="A8" s="64">
        <v>43191</v>
      </c>
      <c r="B8" s="65">
        <v>759.9</v>
      </c>
      <c r="C8" s="67">
        <f t="shared" si="0"/>
        <v>-4.276626566731756E-2</v>
      </c>
      <c r="D8" s="65">
        <v>354.58</v>
      </c>
      <c r="E8" s="67">
        <f t="shared" si="1"/>
        <v>-3.3973573082686337E-2</v>
      </c>
      <c r="F8" s="65">
        <v>743.1</v>
      </c>
      <c r="G8" s="67">
        <f t="shared" si="2"/>
        <v>9.5613711758201214E-2</v>
      </c>
      <c r="H8" s="66">
        <v>10739.35</v>
      </c>
      <c r="I8" s="67">
        <f t="shared" si="3"/>
        <v>6.1861633230172908E-2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3.8" x14ac:dyDescent="0.25">
      <c r="A9" s="68">
        <v>43221</v>
      </c>
      <c r="B9" s="65">
        <v>754.4</v>
      </c>
      <c r="C9" s="67">
        <f t="shared" si="0"/>
        <v>-7.2377944466377464E-3</v>
      </c>
      <c r="D9" s="65">
        <v>362.28</v>
      </c>
      <c r="E9" s="67">
        <f t="shared" si="1"/>
        <v>2.1715832816289637E-2</v>
      </c>
      <c r="F9" s="65">
        <v>689.8</v>
      </c>
      <c r="G9" s="67">
        <f t="shared" si="2"/>
        <v>-7.1726550935271249E-2</v>
      </c>
      <c r="H9" s="66">
        <v>10736.15</v>
      </c>
      <c r="I9" s="67">
        <f t="shared" si="3"/>
        <v>-2.9796961641070929E-4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3.8" x14ac:dyDescent="0.25">
      <c r="A10" s="64">
        <v>43252</v>
      </c>
      <c r="B10" s="65">
        <v>696.75</v>
      </c>
      <c r="C10" s="67">
        <f t="shared" si="0"/>
        <v>-7.6418345705196122E-2</v>
      </c>
      <c r="D10" s="65">
        <v>366.43</v>
      </c>
      <c r="E10" s="67">
        <f t="shared" si="1"/>
        <v>1.1455228000441853E-2</v>
      </c>
      <c r="F10" s="65">
        <v>674.35</v>
      </c>
      <c r="G10" s="67">
        <f t="shared" si="2"/>
        <v>-2.2397796462742758E-2</v>
      </c>
      <c r="H10" s="66">
        <v>10714.3</v>
      </c>
      <c r="I10" s="67">
        <f t="shared" si="3"/>
        <v>-2.0351802089203508E-3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3.8" x14ac:dyDescent="0.25">
      <c r="A11" s="64">
        <v>43282</v>
      </c>
      <c r="B11" s="65">
        <v>777.7</v>
      </c>
      <c r="C11" s="67">
        <f t="shared" si="0"/>
        <v>0.11618227484750632</v>
      </c>
      <c r="D11" s="65">
        <v>356.55</v>
      </c>
      <c r="E11" s="67">
        <f t="shared" si="1"/>
        <v>-2.6962857844608834E-2</v>
      </c>
      <c r="F11" s="65">
        <v>686</v>
      </c>
      <c r="G11" s="67">
        <f t="shared" si="2"/>
        <v>1.727589530659146E-2</v>
      </c>
      <c r="H11" s="66">
        <v>11356.5</v>
      </c>
      <c r="I11" s="67">
        <f t="shared" si="3"/>
        <v>5.9938586748551126E-2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3.8" x14ac:dyDescent="0.25">
      <c r="A12" s="64">
        <v>43313</v>
      </c>
      <c r="B12" s="65">
        <v>795.85</v>
      </c>
      <c r="C12" s="67">
        <f t="shared" si="0"/>
        <v>2.33380480905232E-2</v>
      </c>
      <c r="D12" s="65">
        <v>334</v>
      </c>
      <c r="E12" s="67">
        <f t="shared" si="1"/>
        <v>-6.3244986677885362E-2</v>
      </c>
      <c r="F12" s="65">
        <v>672.4</v>
      </c>
      <c r="G12" s="67">
        <f t="shared" si="2"/>
        <v>-1.9825072886297423E-2</v>
      </c>
      <c r="H12" s="66">
        <v>11680.5</v>
      </c>
      <c r="I12" s="67">
        <f t="shared" si="3"/>
        <v>2.8529916787742637E-2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3.8" x14ac:dyDescent="0.25">
      <c r="A13" s="64">
        <v>43344</v>
      </c>
      <c r="B13" s="65">
        <v>808.35</v>
      </c>
      <c r="C13" s="67">
        <f t="shared" si="0"/>
        <v>1.5706477351259629E-2</v>
      </c>
      <c r="D13" s="65">
        <v>328.1</v>
      </c>
      <c r="E13" s="67">
        <f t="shared" si="1"/>
        <v>-1.7664670658682602E-2</v>
      </c>
      <c r="F13" s="65">
        <v>511.6</v>
      </c>
      <c r="G13" s="67">
        <f t="shared" si="2"/>
        <v>-0.23914336704342642</v>
      </c>
      <c r="H13" s="66">
        <v>10930.45</v>
      </c>
      <c r="I13" s="67">
        <f t="shared" si="3"/>
        <v>-6.42138607080176E-2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3.8" x14ac:dyDescent="0.25">
      <c r="A14" s="64">
        <v>43374</v>
      </c>
      <c r="B14" s="65">
        <v>805.45</v>
      </c>
      <c r="C14" s="67">
        <f t="shared" si="0"/>
        <v>-3.5875548957753356E-3</v>
      </c>
      <c r="D14" s="65">
        <v>318.14999999999998</v>
      </c>
      <c r="E14" s="67">
        <f t="shared" si="1"/>
        <v>-3.0326120085339969E-2</v>
      </c>
      <c r="F14" s="65">
        <v>560.4</v>
      </c>
      <c r="G14" s="67">
        <f t="shared" si="2"/>
        <v>9.5387021110242332E-2</v>
      </c>
      <c r="H14" s="66">
        <v>10386.6</v>
      </c>
      <c r="I14" s="67">
        <f t="shared" si="3"/>
        <v>-4.975549954484948E-2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3.8" x14ac:dyDescent="0.25">
      <c r="A15" s="64">
        <v>43405</v>
      </c>
      <c r="B15" s="65">
        <v>833.8</v>
      </c>
      <c r="C15" s="67">
        <f t="shared" si="0"/>
        <v>3.5197715562728771E-2</v>
      </c>
      <c r="D15" s="65">
        <v>285</v>
      </c>
      <c r="E15" s="67">
        <f t="shared" si="1"/>
        <v>-0.10419613389910409</v>
      </c>
      <c r="F15" s="65">
        <v>571.4</v>
      </c>
      <c r="G15" s="67">
        <f t="shared" si="2"/>
        <v>1.9628836545324768E-2</v>
      </c>
      <c r="H15" s="66">
        <v>10876.75</v>
      </c>
      <c r="I15" s="67">
        <f t="shared" si="3"/>
        <v>4.7190610979531256E-2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3.8" x14ac:dyDescent="0.25">
      <c r="A16" s="64">
        <v>43435</v>
      </c>
      <c r="B16" s="65">
        <v>864.45</v>
      </c>
      <c r="C16" s="67">
        <f t="shared" si="0"/>
        <v>3.6759414727752571E-2</v>
      </c>
      <c r="D16" s="65">
        <v>259</v>
      </c>
      <c r="E16" s="67">
        <f t="shared" si="1"/>
        <v>-9.1228070175438547E-2</v>
      </c>
      <c r="F16" s="65">
        <v>597.85</v>
      </c>
      <c r="G16" s="67">
        <f t="shared" si="2"/>
        <v>4.6289814490724668E-2</v>
      </c>
      <c r="H16" s="66">
        <v>10862.55</v>
      </c>
      <c r="I16" s="67">
        <f t="shared" si="3"/>
        <v>-1.3055370400165689E-3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3.8" x14ac:dyDescent="0.25">
      <c r="A17" s="64">
        <v>43466</v>
      </c>
      <c r="B17" s="65">
        <v>880.25</v>
      </c>
      <c r="C17" s="67">
        <f t="shared" si="0"/>
        <v>1.8277517496674056E-2</v>
      </c>
      <c r="D17" s="65">
        <v>243.4</v>
      </c>
      <c r="E17" s="67">
        <f t="shared" si="1"/>
        <v>-6.0231660231660156E-2</v>
      </c>
      <c r="F17" s="65">
        <v>595</v>
      </c>
      <c r="G17" s="67">
        <f t="shared" si="2"/>
        <v>-4.7670820439910111E-3</v>
      </c>
      <c r="H17" s="66">
        <v>10830.95</v>
      </c>
      <c r="I17" s="67">
        <f t="shared" si="3"/>
        <v>-2.909077518630343E-3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3.8" x14ac:dyDescent="0.25">
      <c r="A18" s="64">
        <v>43497</v>
      </c>
      <c r="B18" s="65">
        <v>931.15</v>
      </c>
      <c r="C18" s="67">
        <f t="shared" si="0"/>
        <v>5.7824481681340467E-2</v>
      </c>
      <c r="D18" s="65">
        <v>217.45</v>
      </c>
      <c r="E18" s="67">
        <f t="shared" si="1"/>
        <v>-0.10661462612982753</v>
      </c>
      <c r="F18" s="65">
        <v>578.54999999999995</v>
      </c>
      <c r="G18" s="67">
        <f t="shared" si="2"/>
        <v>-2.7647058823529469E-2</v>
      </c>
      <c r="H18" s="66">
        <v>10792.5</v>
      </c>
      <c r="I18" s="67">
        <f t="shared" si="3"/>
        <v>-3.5500117718206825E-3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3.8" x14ac:dyDescent="0.25">
      <c r="A19" s="64">
        <v>43525</v>
      </c>
      <c r="B19" s="66">
        <v>1033.3</v>
      </c>
      <c r="C19" s="67">
        <f t="shared" si="0"/>
        <v>0.10970305536164959</v>
      </c>
      <c r="D19" s="65">
        <v>241.65</v>
      </c>
      <c r="E19" s="67">
        <f t="shared" si="1"/>
        <v>0.11128995171303746</v>
      </c>
      <c r="F19" s="65">
        <v>583.4</v>
      </c>
      <c r="G19" s="67">
        <f t="shared" si="2"/>
        <v>8.383026531846971E-3</v>
      </c>
      <c r="H19" s="66">
        <v>11623.9</v>
      </c>
      <c r="I19" s="67">
        <f t="shared" si="3"/>
        <v>7.7034977993977183E-2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3.8" x14ac:dyDescent="0.25">
      <c r="A20" s="64">
        <v>43556</v>
      </c>
      <c r="B20" s="66">
        <v>1093.3499999999999</v>
      </c>
      <c r="C20" s="67">
        <f t="shared" si="0"/>
        <v>5.8114777896061121E-2</v>
      </c>
      <c r="D20" s="65">
        <v>240.2</v>
      </c>
      <c r="E20" s="67">
        <f t="shared" si="1"/>
        <v>-6.0004138216429581E-3</v>
      </c>
      <c r="F20" s="65">
        <v>639.85</v>
      </c>
      <c r="G20" s="67">
        <f t="shared" si="2"/>
        <v>9.6760370243400784E-2</v>
      </c>
      <c r="H20" s="66">
        <v>11748.15</v>
      </c>
      <c r="I20" s="67">
        <f t="shared" si="3"/>
        <v>1.0689183492631482E-2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3.8" x14ac:dyDescent="0.25">
      <c r="A21" s="68">
        <v>43586</v>
      </c>
      <c r="B21" s="66">
        <v>1176.5</v>
      </c>
      <c r="C21" s="67">
        <f t="shared" si="0"/>
        <v>7.6050669959299544E-2</v>
      </c>
      <c r="D21" s="65">
        <v>225.4</v>
      </c>
      <c r="E21" s="67">
        <f t="shared" si="1"/>
        <v>-6.1615320566194787E-2</v>
      </c>
      <c r="F21" s="65">
        <v>694.25</v>
      </c>
      <c r="G21" s="67">
        <f t="shared" si="2"/>
        <v>8.5019926545284008E-2</v>
      </c>
      <c r="H21" s="66">
        <v>11922.8</v>
      </c>
      <c r="I21" s="67">
        <f t="shared" si="3"/>
        <v>1.4866170418321056E-2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3.8" x14ac:dyDescent="0.25">
      <c r="A22" s="64">
        <v>43617</v>
      </c>
      <c r="B22" s="66">
        <v>1112.55</v>
      </c>
      <c r="C22" s="67">
        <f t="shared" si="0"/>
        <v>-5.4356141096472577E-2</v>
      </c>
      <c r="D22" s="65">
        <v>218.35</v>
      </c>
      <c r="E22" s="67">
        <f t="shared" si="1"/>
        <v>-3.1277728482697498E-2</v>
      </c>
      <c r="F22" s="65">
        <v>723.7</v>
      </c>
      <c r="G22" s="67">
        <f t="shared" si="2"/>
        <v>4.2419877565718522E-2</v>
      </c>
      <c r="H22" s="66">
        <v>11788.85</v>
      </c>
      <c r="I22" s="67">
        <f t="shared" si="3"/>
        <v>-1.1234777065789792E-2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3.8" x14ac:dyDescent="0.25">
      <c r="A23" s="64">
        <v>43647</v>
      </c>
      <c r="B23" s="66">
        <v>1207.3499999999999</v>
      </c>
      <c r="C23" s="67">
        <f t="shared" si="0"/>
        <v>8.5209653498719229E-2</v>
      </c>
      <c r="D23" s="65">
        <v>190.85</v>
      </c>
      <c r="E23" s="67">
        <f t="shared" si="1"/>
        <v>-0.12594458438287159</v>
      </c>
      <c r="F23" s="65">
        <v>797.55</v>
      </c>
      <c r="G23" s="67">
        <f t="shared" si="2"/>
        <v>0.10204504628989897</v>
      </c>
      <c r="H23" s="66">
        <v>11118</v>
      </c>
      <c r="I23" s="67">
        <f t="shared" si="3"/>
        <v>-5.6905465757898344E-2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3.8" x14ac:dyDescent="0.25">
      <c r="A24" s="64">
        <v>43678</v>
      </c>
      <c r="B24" s="66">
        <v>1257.8</v>
      </c>
      <c r="C24" s="67">
        <f t="shared" si="0"/>
        <v>4.1785729076075695E-2</v>
      </c>
      <c r="D24" s="65">
        <v>178.65</v>
      </c>
      <c r="E24" s="67">
        <f t="shared" si="1"/>
        <v>-6.3924548074403953E-2</v>
      </c>
      <c r="F24" s="65">
        <v>838.7</v>
      </c>
      <c r="G24" s="67">
        <f t="shared" si="2"/>
        <v>5.1595511253213155E-2</v>
      </c>
      <c r="H24" s="66">
        <v>11023.25</v>
      </c>
      <c r="I24" s="67">
        <f t="shared" si="3"/>
        <v>-8.5222162259399603E-3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3.8" x14ac:dyDescent="0.25">
      <c r="A25" s="64">
        <v>43709</v>
      </c>
      <c r="B25" s="66">
        <v>1209.8499999999999</v>
      </c>
      <c r="C25" s="67">
        <f t="shared" si="0"/>
        <v>-3.812211798378129E-2</v>
      </c>
      <c r="D25" s="65">
        <v>219.9</v>
      </c>
      <c r="E25" s="67">
        <f t="shared" si="1"/>
        <v>0.23089840470193113</v>
      </c>
      <c r="F25" s="65">
        <v>846.4</v>
      </c>
      <c r="G25" s="67">
        <f t="shared" si="2"/>
        <v>9.1808751639441688E-3</v>
      </c>
      <c r="H25" s="66">
        <v>11474.45</v>
      </c>
      <c r="I25" s="67">
        <f t="shared" si="3"/>
        <v>4.0931667158052409E-2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3.8" x14ac:dyDescent="0.25">
      <c r="A26" s="64">
        <v>43739</v>
      </c>
      <c r="B26" s="66">
        <v>1342.8</v>
      </c>
      <c r="C26" s="67">
        <f t="shared" si="0"/>
        <v>0.10988965574244736</v>
      </c>
      <c r="D26" s="65">
        <v>311.14999999999998</v>
      </c>
      <c r="E26" s="67">
        <f t="shared" si="1"/>
        <v>0.41496134606639368</v>
      </c>
      <c r="F26" s="65">
        <v>991.5</v>
      </c>
      <c r="G26" s="67">
        <f t="shared" si="2"/>
        <v>0.17143194706994325</v>
      </c>
      <c r="H26" s="66">
        <v>11877.45</v>
      </c>
      <c r="I26" s="67">
        <f t="shared" si="3"/>
        <v>3.5121509091939007E-2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3.8" x14ac:dyDescent="0.25">
      <c r="A27" s="64">
        <v>43770</v>
      </c>
      <c r="B27" s="66">
        <v>1362.9</v>
      </c>
      <c r="C27" s="67">
        <f t="shared" si="0"/>
        <v>1.4968722073279705E-2</v>
      </c>
      <c r="D27" s="65">
        <v>260.5</v>
      </c>
      <c r="E27" s="67">
        <f t="shared" si="1"/>
        <v>-0.16278322352563068</v>
      </c>
      <c r="F27" s="65">
        <v>960.05</v>
      </c>
      <c r="G27" s="67">
        <f t="shared" si="2"/>
        <v>-3.171961674230972E-2</v>
      </c>
      <c r="H27" s="66">
        <v>12056.05</v>
      </c>
      <c r="I27" s="67">
        <f t="shared" si="3"/>
        <v>1.5036897650589909E-2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3.8" x14ac:dyDescent="0.25">
      <c r="A28" s="64">
        <v>43800</v>
      </c>
      <c r="B28" s="66">
        <v>1386.8</v>
      </c>
      <c r="C28" s="67">
        <f t="shared" si="0"/>
        <v>1.7536136180203776E-2</v>
      </c>
      <c r="D28" s="65">
        <v>226.4</v>
      </c>
      <c r="E28" s="67">
        <f t="shared" si="1"/>
        <v>-0.13090211132437612</v>
      </c>
      <c r="F28" s="65">
        <v>961.6</v>
      </c>
      <c r="G28" s="67">
        <f t="shared" si="2"/>
        <v>1.6144992448310358E-3</v>
      </c>
      <c r="H28" s="66">
        <v>12168.45</v>
      </c>
      <c r="I28" s="67">
        <f t="shared" si="3"/>
        <v>9.3231199273395848E-3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3.8" x14ac:dyDescent="0.25">
      <c r="A29" s="64">
        <v>43831</v>
      </c>
      <c r="B29" s="66">
        <v>1318.4</v>
      </c>
      <c r="C29" s="67">
        <f t="shared" si="0"/>
        <v>-4.9322180559561501E-2</v>
      </c>
      <c r="D29" s="65">
        <v>250</v>
      </c>
      <c r="E29" s="67">
        <f t="shared" si="1"/>
        <v>0.10424028268551244</v>
      </c>
      <c r="F29" s="65">
        <v>994.1</v>
      </c>
      <c r="G29" s="67">
        <f t="shared" si="2"/>
        <v>3.3797836938435966E-2</v>
      </c>
      <c r="H29" s="66">
        <v>11962.1</v>
      </c>
      <c r="I29" s="67">
        <f t="shared" si="3"/>
        <v>-1.6957788378963667E-2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3.8" x14ac:dyDescent="0.25">
      <c r="A30" s="64">
        <v>43862</v>
      </c>
      <c r="B30" s="66">
        <v>1236.6500000000001</v>
      </c>
      <c r="C30" s="67">
        <f t="shared" si="0"/>
        <v>-6.2006978155339842E-2</v>
      </c>
      <c r="D30" s="65">
        <v>163.69999999999999</v>
      </c>
      <c r="E30" s="67">
        <f t="shared" si="1"/>
        <v>-0.34520000000000006</v>
      </c>
      <c r="F30" s="65">
        <v>890.4</v>
      </c>
      <c r="G30" s="67">
        <f t="shared" si="2"/>
        <v>-0.10431546122120516</v>
      </c>
      <c r="H30" s="66">
        <v>11201.75</v>
      </c>
      <c r="I30" s="67">
        <f t="shared" si="3"/>
        <v>-6.3563253943705544E-2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3.8" x14ac:dyDescent="0.25">
      <c r="A31" s="64">
        <v>43891</v>
      </c>
      <c r="B31" s="66">
        <v>1081.6500000000001</v>
      </c>
      <c r="C31" s="67">
        <f t="shared" si="0"/>
        <v>-0.12533861642340194</v>
      </c>
      <c r="D31" s="65">
        <v>105.2</v>
      </c>
      <c r="E31" s="67">
        <f t="shared" si="1"/>
        <v>-0.3573610262675625</v>
      </c>
      <c r="F31" s="65">
        <v>641</v>
      </c>
      <c r="G31" s="67">
        <f t="shared" si="2"/>
        <v>-0.28009883198562446</v>
      </c>
      <c r="H31" s="66">
        <v>8597.75</v>
      </c>
      <c r="I31" s="67">
        <f t="shared" si="3"/>
        <v>-0.23246367755038277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3.8" x14ac:dyDescent="0.25">
      <c r="A32" s="64">
        <v>43922</v>
      </c>
      <c r="B32" s="66">
        <v>1290.5999999999999</v>
      </c>
      <c r="C32" s="67">
        <f t="shared" si="0"/>
        <v>0.19317709055609478</v>
      </c>
      <c r="D32" s="65">
        <v>140</v>
      </c>
      <c r="E32" s="67">
        <f t="shared" si="1"/>
        <v>0.33079847908745252</v>
      </c>
      <c r="F32" s="65">
        <v>726.85</v>
      </c>
      <c r="G32" s="67">
        <f t="shared" si="2"/>
        <v>0.13393135725429017</v>
      </c>
      <c r="H32" s="66">
        <v>9859.9</v>
      </c>
      <c r="I32" s="67">
        <f t="shared" si="3"/>
        <v>0.14680003489284976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3.8" x14ac:dyDescent="0.25">
      <c r="A33" s="68">
        <v>43952</v>
      </c>
      <c r="B33" s="66">
        <v>1300.7</v>
      </c>
      <c r="C33" s="67">
        <f t="shared" si="0"/>
        <v>7.8258174492484844E-3</v>
      </c>
      <c r="D33" s="65">
        <v>138.5</v>
      </c>
      <c r="E33" s="67">
        <f t="shared" si="1"/>
        <v>-1.0714285714285676E-2</v>
      </c>
      <c r="F33" s="65">
        <v>768.65</v>
      </c>
      <c r="G33" s="67">
        <f t="shared" si="2"/>
        <v>5.7508426773061672E-2</v>
      </c>
      <c r="H33" s="66">
        <v>9580.2999999999993</v>
      </c>
      <c r="I33" s="67">
        <f t="shared" si="3"/>
        <v>-2.8357285570847601E-2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3.8" x14ac:dyDescent="0.25">
      <c r="A34" s="64">
        <v>43983</v>
      </c>
      <c r="B34" s="66">
        <v>1266.5999999999999</v>
      </c>
      <c r="C34" s="67">
        <f t="shared" si="0"/>
        <v>-2.6216652571692256E-2</v>
      </c>
      <c r="D34" s="65">
        <v>149.1</v>
      </c>
      <c r="E34" s="67">
        <f t="shared" si="1"/>
        <v>7.6534296028880844E-2</v>
      </c>
      <c r="F34" s="65">
        <v>806.45</v>
      </c>
      <c r="G34" s="67">
        <f t="shared" si="2"/>
        <v>4.9177128732192932E-2</v>
      </c>
      <c r="H34" s="66">
        <v>10302.1</v>
      </c>
      <c r="I34" s="67">
        <f t="shared" si="3"/>
        <v>7.5342108284709441E-2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3.8" x14ac:dyDescent="0.25">
      <c r="A35" s="64">
        <v>44013</v>
      </c>
      <c r="B35" s="66">
        <v>1303.5999999999999</v>
      </c>
      <c r="C35" s="67">
        <f t="shared" ref="C35:C66" si="4">B35/B34-1</f>
        <v>2.9212063792831255E-2</v>
      </c>
      <c r="D35" s="65">
        <v>143.85</v>
      </c>
      <c r="E35" s="67">
        <f t="shared" ref="E35:E66" si="5">D35/D34-1</f>
        <v>-3.5211267605633756E-2</v>
      </c>
      <c r="F35" s="65">
        <v>912.85</v>
      </c>
      <c r="G35" s="67">
        <f t="shared" ref="G35:G66" si="6">F35/F34-1</f>
        <v>0.13193626387252766</v>
      </c>
      <c r="H35" s="66">
        <v>11073.45</v>
      </c>
      <c r="I35" s="67">
        <f t="shared" ref="I35:I66" si="7">H35/H34-1</f>
        <v>7.4873084128478595E-2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3.8" x14ac:dyDescent="0.25">
      <c r="A36" s="64">
        <v>44044</v>
      </c>
      <c r="B36" s="66">
        <v>1256.7</v>
      </c>
      <c r="C36" s="67">
        <f t="shared" si="4"/>
        <v>-3.5977293648358333E-2</v>
      </c>
      <c r="D36" s="65">
        <v>146.65</v>
      </c>
      <c r="E36" s="67">
        <f t="shared" si="5"/>
        <v>1.9464720194647178E-2</v>
      </c>
      <c r="F36" s="65">
        <v>827.75</v>
      </c>
      <c r="G36" s="67">
        <f t="shared" si="6"/>
        <v>-9.3224516623760745E-2</v>
      </c>
      <c r="H36" s="66">
        <v>11387.5</v>
      </c>
      <c r="I36" s="67">
        <f t="shared" si="7"/>
        <v>2.8360628349791472E-2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3.8" x14ac:dyDescent="0.25">
      <c r="A37" s="64">
        <v>44075</v>
      </c>
      <c r="B37" s="66">
        <v>1299.5</v>
      </c>
      <c r="C37" s="67">
        <f t="shared" si="4"/>
        <v>3.4057452056974524E-2</v>
      </c>
      <c r="D37" s="65">
        <v>120.9</v>
      </c>
      <c r="E37" s="67">
        <f t="shared" si="5"/>
        <v>-0.17558813501534265</v>
      </c>
      <c r="F37" s="65">
        <v>811.45</v>
      </c>
      <c r="G37" s="67">
        <f t="shared" si="6"/>
        <v>-1.9691935971005714E-2</v>
      </c>
      <c r="H37" s="66">
        <v>11247.55</v>
      </c>
      <c r="I37" s="67">
        <f t="shared" si="7"/>
        <v>-1.2289791437980258E-2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3.8" x14ac:dyDescent="0.25">
      <c r="A38" s="64">
        <v>44105</v>
      </c>
      <c r="B38" s="66">
        <v>1236</v>
      </c>
      <c r="C38" s="67">
        <f t="shared" si="4"/>
        <v>-4.8864948056944968E-2</v>
      </c>
      <c r="D38" s="65">
        <v>117.85</v>
      </c>
      <c r="E38" s="67">
        <f t="shared" si="5"/>
        <v>-2.5227460711331751E-2</v>
      </c>
      <c r="F38" s="65">
        <v>769.15</v>
      </c>
      <c r="G38" s="67">
        <f t="shared" si="6"/>
        <v>-5.212890504652179E-2</v>
      </c>
      <c r="H38" s="66">
        <v>11642.4</v>
      </c>
      <c r="I38" s="67">
        <f t="shared" si="7"/>
        <v>3.5105422958777721E-2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3.8" x14ac:dyDescent="0.25">
      <c r="A39" s="64">
        <v>44136</v>
      </c>
      <c r="B39" s="66">
        <v>1451.4</v>
      </c>
      <c r="C39" s="67">
        <f t="shared" si="4"/>
        <v>0.1742718446601943</v>
      </c>
      <c r="D39" s="65">
        <v>140.94999999999999</v>
      </c>
      <c r="E39" s="67">
        <f t="shared" si="5"/>
        <v>0.19601187950784893</v>
      </c>
      <c r="F39" s="65">
        <v>846.05</v>
      </c>
      <c r="G39" s="67">
        <f t="shared" si="6"/>
        <v>9.9980497952284919E-2</v>
      </c>
      <c r="H39" s="66">
        <v>12968.95</v>
      </c>
      <c r="I39" s="67">
        <f t="shared" si="7"/>
        <v>0.11394128358414091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3.8" x14ac:dyDescent="0.25">
      <c r="A40" s="64">
        <v>44166</v>
      </c>
      <c r="B40" s="66">
        <v>1520.85</v>
      </c>
      <c r="C40" s="67">
        <f t="shared" si="4"/>
        <v>4.7850351384869594E-2</v>
      </c>
      <c r="D40" s="65">
        <v>139.1</v>
      </c>
      <c r="E40" s="67">
        <f t="shared" si="5"/>
        <v>-1.3125221709826107E-2</v>
      </c>
      <c r="F40" s="65">
        <v>904.25</v>
      </c>
      <c r="G40" s="67">
        <f t="shared" si="6"/>
        <v>6.8790260622894728E-2</v>
      </c>
      <c r="H40" s="66">
        <v>13981.75</v>
      </c>
      <c r="I40" s="67">
        <f t="shared" si="7"/>
        <v>7.8094217342190353E-2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3.8" x14ac:dyDescent="0.25">
      <c r="A41" s="64">
        <v>44197</v>
      </c>
      <c r="B41" s="66">
        <v>1315.5</v>
      </c>
      <c r="C41" s="67">
        <f t="shared" si="4"/>
        <v>-0.13502317782818818</v>
      </c>
      <c r="D41" s="65">
        <v>131.9</v>
      </c>
      <c r="E41" s="67">
        <f t="shared" si="5"/>
        <v>-5.1761322789360076E-2</v>
      </c>
      <c r="F41" s="65">
        <v>864.45</v>
      </c>
      <c r="G41" s="67">
        <f t="shared" si="6"/>
        <v>-4.4014376555156165E-2</v>
      </c>
      <c r="H41" s="66">
        <v>13634.6</v>
      </c>
      <c r="I41" s="67">
        <f t="shared" si="7"/>
        <v>-2.4828794678777633E-2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3.8" x14ac:dyDescent="0.25">
      <c r="A42" s="64">
        <v>44228</v>
      </c>
      <c r="B42" s="66">
        <v>1426</v>
      </c>
      <c r="C42" s="67">
        <f t="shared" si="4"/>
        <v>8.3998479665526427E-2</v>
      </c>
      <c r="D42" s="65">
        <v>189.05</v>
      </c>
      <c r="E42" s="67">
        <f t="shared" si="5"/>
        <v>0.43328278999241854</v>
      </c>
      <c r="F42" s="65">
        <v>866.9</v>
      </c>
      <c r="G42" s="67">
        <f t="shared" si="6"/>
        <v>2.8341720168891804E-3</v>
      </c>
      <c r="H42" s="66">
        <v>14529.15</v>
      </c>
      <c r="I42" s="67">
        <f t="shared" si="7"/>
        <v>6.5608818740557018E-2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3.8" x14ac:dyDescent="0.25">
      <c r="A43" s="64">
        <v>44256</v>
      </c>
      <c r="B43" s="66">
        <v>1433.2</v>
      </c>
      <c r="C43" s="67">
        <f t="shared" si="4"/>
        <v>5.0490883590463831E-3</v>
      </c>
      <c r="D43" s="65">
        <v>199.4</v>
      </c>
      <c r="E43" s="67">
        <f t="shared" si="5"/>
        <v>5.4747421317111744E-2</v>
      </c>
      <c r="F43" s="65">
        <v>880.85</v>
      </c>
      <c r="G43" s="67">
        <f t="shared" si="6"/>
        <v>1.6091821432691278E-2</v>
      </c>
      <c r="H43" s="66">
        <v>14690.7</v>
      </c>
      <c r="I43" s="67">
        <f t="shared" si="7"/>
        <v>1.111902623346861E-2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3.8" x14ac:dyDescent="0.25">
      <c r="A44" s="64">
        <v>44287</v>
      </c>
      <c r="B44" s="66">
        <v>1414</v>
      </c>
      <c r="C44" s="67">
        <f t="shared" si="4"/>
        <v>-1.3396595032096004E-2</v>
      </c>
      <c r="D44" s="65">
        <v>204.75</v>
      </c>
      <c r="E44" s="67">
        <f t="shared" si="5"/>
        <v>2.683049147442329E-2</v>
      </c>
      <c r="F44" s="65">
        <v>928.7</v>
      </c>
      <c r="G44" s="67">
        <f t="shared" si="6"/>
        <v>5.4322529375035566E-2</v>
      </c>
      <c r="H44" s="66">
        <v>14631.1</v>
      </c>
      <c r="I44" s="67">
        <f t="shared" si="7"/>
        <v>-4.0569884348601315E-3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3.8" x14ac:dyDescent="0.25">
      <c r="A45" s="68">
        <v>44317</v>
      </c>
      <c r="B45" s="66">
        <v>1471.9</v>
      </c>
      <c r="C45" s="67">
        <f t="shared" si="4"/>
        <v>4.0947666195191079E-2</v>
      </c>
      <c r="D45" s="65">
        <v>196.8</v>
      </c>
      <c r="E45" s="67">
        <f t="shared" si="5"/>
        <v>-3.8827838827838801E-2</v>
      </c>
      <c r="F45" s="65">
        <v>975.65</v>
      </c>
      <c r="G45" s="67">
        <f t="shared" si="6"/>
        <v>5.0554538602347376E-2</v>
      </c>
      <c r="H45" s="66">
        <v>15582.8</v>
      </c>
      <c r="I45" s="67">
        <f t="shared" si="7"/>
        <v>6.5046373820150105E-2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3.8" x14ac:dyDescent="0.25">
      <c r="A46" s="64">
        <v>44348</v>
      </c>
      <c r="B46" s="66">
        <v>1567</v>
      </c>
      <c r="C46" s="67">
        <f t="shared" si="4"/>
        <v>6.4610367552143444E-2</v>
      </c>
      <c r="D46" s="65">
        <v>208.5</v>
      </c>
      <c r="E46" s="67">
        <f t="shared" si="5"/>
        <v>5.9451219512195008E-2</v>
      </c>
      <c r="F46" s="66">
        <v>1008.15</v>
      </c>
      <c r="G46" s="67">
        <f t="shared" si="6"/>
        <v>3.3311125916055895E-2</v>
      </c>
      <c r="H46" s="66">
        <v>15721.5</v>
      </c>
      <c r="I46" s="67">
        <f t="shared" si="7"/>
        <v>8.9008393870164682E-3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3.8" x14ac:dyDescent="0.25">
      <c r="A47" s="64">
        <v>44378</v>
      </c>
      <c r="B47" s="66">
        <v>1475.75</v>
      </c>
      <c r="C47" s="67">
        <f t="shared" si="4"/>
        <v>-5.8232291001914516E-2</v>
      </c>
      <c r="D47" s="65">
        <v>180.5</v>
      </c>
      <c r="E47" s="67">
        <f t="shared" si="5"/>
        <v>-0.13429256594724226</v>
      </c>
      <c r="F47" s="66">
        <v>1098.5999999999999</v>
      </c>
      <c r="G47" s="67">
        <f t="shared" si="6"/>
        <v>8.9718791846451262E-2</v>
      </c>
      <c r="H47" s="66">
        <v>15763.05</v>
      </c>
      <c r="I47" s="67">
        <f t="shared" si="7"/>
        <v>2.6428775880162902E-3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3.8" x14ac:dyDescent="0.25">
      <c r="A48" s="64">
        <v>44409</v>
      </c>
      <c r="B48" s="66">
        <v>1594.6</v>
      </c>
      <c r="C48" s="67">
        <f t="shared" si="4"/>
        <v>8.0535321023208484E-2</v>
      </c>
      <c r="D48" s="65">
        <v>148.25</v>
      </c>
      <c r="E48" s="67">
        <f t="shared" si="5"/>
        <v>-0.17867036011080328</v>
      </c>
      <c r="F48" s="66">
        <v>1192.05</v>
      </c>
      <c r="G48" s="67">
        <f t="shared" si="6"/>
        <v>8.5062807209175473E-2</v>
      </c>
      <c r="H48" s="66">
        <v>17132.2</v>
      </c>
      <c r="I48" s="67">
        <f t="shared" si="7"/>
        <v>8.6858190515160638E-2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3.8" x14ac:dyDescent="0.25">
      <c r="A49" s="64">
        <v>44440</v>
      </c>
      <c r="B49" s="66">
        <v>1589.5</v>
      </c>
      <c r="C49" s="67">
        <f t="shared" si="4"/>
        <v>-3.1982942430702765E-3</v>
      </c>
      <c r="D49" s="65">
        <v>145.05000000000001</v>
      </c>
      <c r="E49" s="67">
        <f t="shared" si="5"/>
        <v>-2.1585160202360787E-2</v>
      </c>
      <c r="F49" s="66">
        <v>1215.0999999999999</v>
      </c>
      <c r="G49" s="67">
        <f t="shared" si="6"/>
        <v>1.9336437229982018E-2</v>
      </c>
      <c r="H49" s="66">
        <v>17618.150000000001</v>
      </c>
      <c r="I49" s="67">
        <f t="shared" si="7"/>
        <v>2.8364716732235173E-2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3.8" x14ac:dyDescent="0.25">
      <c r="A50" s="64">
        <v>44470</v>
      </c>
      <c r="B50" s="66">
        <v>1481.55</v>
      </c>
      <c r="C50" s="67">
        <f t="shared" si="4"/>
        <v>-6.7914438502673868E-2</v>
      </c>
      <c r="D50" s="65">
        <v>133.30000000000001</v>
      </c>
      <c r="E50" s="67">
        <f t="shared" si="5"/>
        <v>-8.1006549465701516E-2</v>
      </c>
      <c r="F50" s="66">
        <v>1145.55</v>
      </c>
      <c r="G50" s="67">
        <f t="shared" si="6"/>
        <v>-5.7238087400213966E-2</v>
      </c>
      <c r="H50" s="66">
        <v>17671.650000000001</v>
      </c>
      <c r="I50" s="67">
        <f t="shared" si="7"/>
        <v>3.0366411910445201E-3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3.8" x14ac:dyDescent="0.25">
      <c r="A51" s="64">
        <v>44501</v>
      </c>
      <c r="B51" s="66">
        <v>1437.35</v>
      </c>
      <c r="C51" s="67">
        <f t="shared" si="4"/>
        <v>-2.9833620195065969E-2</v>
      </c>
      <c r="D51" s="65">
        <v>141.75</v>
      </c>
      <c r="E51" s="67">
        <f t="shared" si="5"/>
        <v>6.3390847711927822E-2</v>
      </c>
      <c r="F51" s="66">
        <v>1160.55</v>
      </c>
      <c r="G51" s="67">
        <f t="shared" si="6"/>
        <v>1.3094146916328375E-2</v>
      </c>
      <c r="H51" s="66">
        <v>16983.2</v>
      </c>
      <c r="I51" s="67">
        <f t="shared" si="7"/>
        <v>-3.8957878862471818E-2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3.8" x14ac:dyDescent="0.25">
      <c r="A52" s="64">
        <v>44531</v>
      </c>
      <c r="B52" s="66">
        <v>1401.25</v>
      </c>
      <c r="C52" s="67">
        <f t="shared" si="4"/>
        <v>-2.5115664243225311E-2</v>
      </c>
      <c r="D52" s="65">
        <v>140.80000000000001</v>
      </c>
      <c r="E52" s="67">
        <f t="shared" si="5"/>
        <v>-6.7019400352732461E-3</v>
      </c>
      <c r="F52" s="66">
        <v>1196</v>
      </c>
      <c r="G52" s="67">
        <f t="shared" si="6"/>
        <v>3.0545861875834746E-2</v>
      </c>
      <c r="H52" s="66">
        <v>17354.05</v>
      </c>
      <c r="I52" s="67">
        <f t="shared" si="7"/>
        <v>2.1836285270149247E-2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3.8" x14ac:dyDescent="0.25">
      <c r="A53" s="64">
        <v>44562</v>
      </c>
      <c r="B53" s="66">
        <v>1369.1</v>
      </c>
      <c r="C53" s="67">
        <f t="shared" si="4"/>
        <v>-2.2943800178412244E-2</v>
      </c>
      <c r="D53" s="65">
        <v>142.9</v>
      </c>
      <c r="E53" s="67">
        <f t="shared" si="5"/>
        <v>1.4914772727272707E-2</v>
      </c>
      <c r="F53" s="66">
        <v>1233.25</v>
      </c>
      <c r="G53" s="67">
        <f t="shared" si="6"/>
        <v>3.1145484949832714E-2</v>
      </c>
      <c r="H53" s="66">
        <v>17339.849999999999</v>
      </c>
      <c r="I53" s="67">
        <f t="shared" si="7"/>
        <v>-8.1825279977876253E-4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3.8" x14ac:dyDescent="0.25">
      <c r="A54" s="64">
        <v>44593</v>
      </c>
      <c r="B54" s="66">
        <v>1263.8</v>
      </c>
      <c r="C54" s="67">
        <f t="shared" si="4"/>
        <v>-7.6911839894821421E-2</v>
      </c>
      <c r="D54" s="65">
        <v>116.2</v>
      </c>
      <c r="E54" s="67">
        <f t="shared" si="5"/>
        <v>-0.18684394681595518</v>
      </c>
      <c r="F54" s="66">
        <v>1060.1500000000001</v>
      </c>
      <c r="G54" s="67">
        <f t="shared" si="6"/>
        <v>-0.14036083519156695</v>
      </c>
      <c r="H54" s="66">
        <v>16793.900000000001</v>
      </c>
      <c r="I54" s="67">
        <f t="shared" si="7"/>
        <v>-3.1485278131010208E-2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3.8" x14ac:dyDescent="0.25">
      <c r="A55" s="64">
        <v>44621</v>
      </c>
      <c r="B55" s="66">
        <v>1328.3</v>
      </c>
      <c r="C55" s="67">
        <f t="shared" si="4"/>
        <v>5.1036556417154655E-2</v>
      </c>
      <c r="D55" s="65">
        <v>113.85</v>
      </c>
      <c r="E55" s="67">
        <f t="shared" si="5"/>
        <v>-2.0223752151463104E-2</v>
      </c>
      <c r="F55" s="66">
        <v>1121.45</v>
      </c>
      <c r="G55" s="67">
        <f t="shared" si="6"/>
        <v>5.7822006319860453E-2</v>
      </c>
      <c r="H55" s="66">
        <v>17464.75</v>
      </c>
      <c r="I55" s="67">
        <f t="shared" si="7"/>
        <v>3.9946051840251462E-2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3.8" x14ac:dyDescent="0.25">
      <c r="A56" s="64">
        <v>44652</v>
      </c>
      <c r="B56" s="66">
        <v>1280.2</v>
      </c>
      <c r="C56" s="67">
        <f t="shared" si="4"/>
        <v>-3.6211699164345301E-2</v>
      </c>
      <c r="D56" s="65">
        <v>130.15</v>
      </c>
      <c r="E56" s="67">
        <f t="shared" si="5"/>
        <v>0.14317083882301285</v>
      </c>
      <c r="F56" s="66">
        <v>1105.5</v>
      </c>
      <c r="G56" s="67">
        <f t="shared" si="6"/>
        <v>-1.4222658165767621E-2</v>
      </c>
      <c r="H56" s="66">
        <v>17102.55</v>
      </c>
      <c r="I56" s="67">
        <f t="shared" si="7"/>
        <v>-2.0738916961307807E-2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3.8" x14ac:dyDescent="0.25">
      <c r="A57" s="68">
        <v>44682</v>
      </c>
      <c r="B57" s="66">
        <v>1265.8499999999999</v>
      </c>
      <c r="C57" s="67">
        <f t="shared" si="4"/>
        <v>-1.1209186064677468E-2</v>
      </c>
      <c r="D57" s="65">
        <v>119.5</v>
      </c>
      <c r="E57" s="67">
        <f t="shared" si="5"/>
        <v>-8.1828659239339241E-2</v>
      </c>
      <c r="F57" s="66">
        <v>1174.1500000000001</v>
      </c>
      <c r="G57" s="67">
        <f t="shared" si="6"/>
        <v>6.2098597919493459E-2</v>
      </c>
      <c r="H57" s="66">
        <v>16584.55</v>
      </c>
      <c r="I57" s="67">
        <f t="shared" si="7"/>
        <v>-3.0287881046978327E-2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3.8" x14ac:dyDescent="0.25">
      <c r="A58" s="64">
        <v>44713</v>
      </c>
      <c r="B58" s="66">
        <v>1120.95</v>
      </c>
      <c r="C58" s="67">
        <f t="shared" si="4"/>
        <v>-0.11446853892641295</v>
      </c>
      <c r="D58" s="65">
        <v>115.2</v>
      </c>
      <c r="E58" s="67">
        <f t="shared" si="5"/>
        <v>-3.5983263598326376E-2</v>
      </c>
      <c r="F58" s="66">
        <v>1081.5999999999999</v>
      </c>
      <c r="G58" s="67">
        <f t="shared" si="6"/>
        <v>-7.8822978324745718E-2</v>
      </c>
      <c r="H58" s="66">
        <v>15780.25</v>
      </c>
      <c r="I58" s="67">
        <f t="shared" si="7"/>
        <v>-4.8496944445281853E-2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3.8" x14ac:dyDescent="0.25">
      <c r="A59" s="64">
        <v>44743</v>
      </c>
      <c r="B59" s="66">
        <v>1219.9000000000001</v>
      </c>
      <c r="C59" s="67">
        <f t="shared" si="4"/>
        <v>8.8273339578036625E-2</v>
      </c>
      <c r="D59" s="65">
        <v>116.3</v>
      </c>
      <c r="E59" s="67">
        <f t="shared" si="5"/>
        <v>9.5486111111111605E-3</v>
      </c>
      <c r="F59" s="66">
        <v>1294.4000000000001</v>
      </c>
      <c r="G59" s="67">
        <f t="shared" si="6"/>
        <v>0.19674556213017769</v>
      </c>
      <c r="H59" s="66">
        <v>17158.25</v>
      </c>
      <c r="I59" s="67">
        <f t="shared" si="7"/>
        <v>8.7324345305048956E-2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3.8" x14ac:dyDescent="0.25">
      <c r="A60" s="64">
        <v>44774</v>
      </c>
      <c r="B60" s="66">
        <v>1288.3</v>
      </c>
      <c r="C60" s="67">
        <f t="shared" si="4"/>
        <v>5.6070169686039728E-2</v>
      </c>
      <c r="D60" s="65">
        <v>124.1</v>
      </c>
      <c r="E60" s="67">
        <f t="shared" si="5"/>
        <v>6.7067927773000857E-2</v>
      </c>
      <c r="F60" s="66">
        <v>1329.1</v>
      </c>
      <c r="G60" s="67">
        <f t="shared" si="6"/>
        <v>2.6807787391841531E-2</v>
      </c>
      <c r="H60" s="66">
        <v>17759.3</v>
      </c>
      <c r="I60" s="67">
        <f t="shared" si="7"/>
        <v>3.5029796162195925E-2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3.8" x14ac:dyDescent="0.25">
      <c r="A61" s="64">
        <v>44805</v>
      </c>
      <c r="B61" s="66">
        <v>1151.1500000000001</v>
      </c>
      <c r="C61" s="67">
        <f t="shared" si="4"/>
        <v>-0.10645812310797165</v>
      </c>
      <c r="D61" s="65">
        <v>122.95</v>
      </c>
      <c r="E61" s="67">
        <f t="shared" si="5"/>
        <v>-9.2667203867847769E-3</v>
      </c>
      <c r="F61" s="66">
        <v>1250.45</v>
      </c>
      <c r="G61" s="67">
        <f t="shared" si="6"/>
        <v>-5.9175381837333396E-2</v>
      </c>
      <c r="H61" s="66">
        <v>17094.349999999999</v>
      </c>
      <c r="I61" s="67">
        <f t="shared" si="7"/>
        <v>-3.7442354146841383E-2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3.8" x14ac:dyDescent="0.25">
      <c r="A62" s="64">
        <v>44835</v>
      </c>
      <c r="B62" s="66">
        <v>1169.95</v>
      </c>
      <c r="C62" s="67">
        <f t="shared" si="4"/>
        <v>1.6331494592364049E-2</v>
      </c>
      <c r="D62" s="65">
        <v>123.75</v>
      </c>
      <c r="E62" s="67">
        <f t="shared" si="5"/>
        <v>6.5067100447335768E-3</v>
      </c>
      <c r="F62" s="66">
        <v>1265.95</v>
      </c>
      <c r="G62" s="67">
        <f t="shared" si="6"/>
        <v>1.2395537606461726E-2</v>
      </c>
      <c r="H62" s="66">
        <v>18012.2</v>
      </c>
      <c r="I62" s="67">
        <f t="shared" si="7"/>
        <v>5.3693179325332796E-2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3.8" x14ac:dyDescent="0.25">
      <c r="A63" s="64">
        <v>44866</v>
      </c>
      <c r="B63" s="66">
        <v>1211.1500000000001</v>
      </c>
      <c r="C63" s="67">
        <f t="shared" si="4"/>
        <v>3.5215180135903301E-2</v>
      </c>
      <c r="D63" s="65">
        <v>148.94999999999999</v>
      </c>
      <c r="E63" s="67">
        <f t="shared" si="5"/>
        <v>0.20363636363636362</v>
      </c>
      <c r="F63" s="66">
        <v>1282.9000000000001</v>
      </c>
      <c r="G63" s="67">
        <f t="shared" si="6"/>
        <v>1.3389154389983782E-2</v>
      </c>
      <c r="H63" s="66">
        <v>18758.349999999999</v>
      </c>
      <c r="I63" s="67">
        <f t="shared" si="7"/>
        <v>4.1424701035964295E-2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3.8" x14ac:dyDescent="0.25">
      <c r="A64" s="64">
        <v>44896</v>
      </c>
      <c r="B64" s="66">
        <v>1236.8</v>
      </c>
      <c r="C64" s="67">
        <f t="shared" si="4"/>
        <v>2.1178219048012092E-2</v>
      </c>
      <c r="D64" s="65">
        <v>178.75</v>
      </c>
      <c r="E64" s="67">
        <f t="shared" si="5"/>
        <v>0.200067136623028</v>
      </c>
      <c r="F64" s="66">
        <v>1231.3</v>
      </c>
      <c r="G64" s="67">
        <f t="shared" si="6"/>
        <v>-4.0221373450775699E-2</v>
      </c>
      <c r="H64" s="66">
        <v>18105.3</v>
      </c>
      <c r="I64" s="67">
        <f t="shared" si="7"/>
        <v>-3.4813829574562805E-2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3.8" x14ac:dyDescent="0.25">
      <c r="A65" s="64">
        <v>44927</v>
      </c>
      <c r="B65" s="66">
        <v>1129.75</v>
      </c>
      <c r="C65" s="67">
        <f t="shared" si="4"/>
        <v>-8.6554010349288446E-2</v>
      </c>
      <c r="D65" s="65">
        <v>184.15</v>
      </c>
      <c r="E65" s="67">
        <f t="shared" si="5"/>
        <v>3.0209790209790199E-2</v>
      </c>
      <c r="F65" s="66">
        <v>1219.55</v>
      </c>
      <c r="G65" s="67">
        <f t="shared" si="6"/>
        <v>-9.5427596848859375E-3</v>
      </c>
      <c r="H65" s="66">
        <v>17662.150000000001</v>
      </c>
      <c r="I65" s="67">
        <f t="shared" si="7"/>
        <v>-2.4476258333195111E-2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3.8" x14ac:dyDescent="0.25">
      <c r="A66" s="64">
        <v>44958</v>
      </c>
      <c r="B66" s="66">
        <v>1101.8499999999999</v>
      </c>
      <c r="C66" s="67">
        <f t="shared" si="4"/>
        <v>-2.4695729143615952E-2</v>
      </c>
      <c r="D66" s="65">
        <v>145.69999999999999</v>
      </c>
      <c r="E66" s="67">
        <f t="shared" si="5"/>
        <v>-0.20879717621504212</v>
      </c>
      <c r="F66" s="66">
        <v>1121</v>
      </c>
      <c r="G66" s="67">
        <f t="shared" si="6"/>
        <v>-8.0808494936656983E-2</v>
      </c>
      <c r="H66" s="66">
        <v>17303.95</v>
      </c>
      <c r="I66" s="67">
        <f t="shared" si="7"/>
        <v>-2.0280656658447582E-2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3.8" x14ac:dyDescent="0.25">
      <c r="A67" s="64">
        <v>44986</v>
      </c>
      <c r="B67" s="66">
        <v>1069.5</v>
      </c>
      <c r="C67" s="67">
        <f t="shared" ref="C67:C98" si="8">B67/B66-1</f>
        <v>-2.9359713209601956E-2</v>
      </c>
      <c r="D67" s="65">
        <v>133.65</v>
      </c>
      <c r="E67" s="67">
        <f t="shared" ref="E67:E98" si="9">D67/D66-1</f>
        <v>-8.2704186684969039E-2</v>
      </c>
      <c r="F67" s="66">
        <v>1101.0999999999999</v>
      </c>
      <c r="G67" s="67">
        <f t="shared" ref="G67:G98" si="10">F67/F66-1</f>
        <v>-1.7752007136485393E-2</v>
      </c>
      <c r="H67" s="66">
        <v>17359.75</v>
      </c>
      <c r="I67" s="67">
        <f t="shared" ref="I67:I98" si="11">H67/H66-1</f>
        <v>3.2246972512055549E-3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3.8" x14ac:dyDescent="0.25">
      <c r="A68" s="64">
        <v>45017</v>
      </c>
      <c r="B68" s="66">
        <v>1079.1500000000001</v>
      </c>
      <c r="C68" s="67">
        <f t="shared" si="8"/>
        <v>9.0229079008883328E-3</v>
      </c>
      <c r="D68" s="65">
        <v>153.5</v>
      </c>
      <c r="E68" s="67">
        <f t="shared" si="9"/>
        <v>0.14852225963337062</v>
      </c>
      <c r="F68" s="66">
        <v>1140.0999999999999</v>
      </c>
      <c r="G68" s="67">
        <f t="shared" si="10"/>
        <v>3.541912632821731E-2</v>
      </c>
      <c r="H68" s="66">
        <v>18065</v>
      </c>
      <c r="I68" s="67">
        <f t="shared" si="11"/>
        <v>4.0625585045867663E-2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3.8" x14ac:dyDescent="0.25">
      <c r="A69" s="68">
        <v>45047</v>
      </c>
      <c r="B69" s="66">
        <v>1182.0999999999999</v>
      </c>
      <c r="C69" s="67">
        <f t="shared" si="8"/>
        <v>9.5399156743733338E-2</v>
      </c>
      <c r="D69" s="65">
        <v>184.45</v>
      </c>
      <c r="E69" s="67">
        <f t="shared" si="9"/>
        <v>0.20162866449511396</v>
      </c>
      <c r="F69" s="66">
        <v>1235</v>
      </c>
      <c r="G69" s="67">
        <f t="shared" si="10"/>
        <v>8.3238312428734362E-2</v>
      </c>
      <c r="H69" s="66">
        <v>18534.400000000001</v>
      </c>
      <c r="I69" s="67">
        <f t="shared" si="11"/>
        <v>2.5983946858566309E-2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3.8" x14ac:dyDescent="0.25">
      <c r="A70" s="64">
        <v>45078</v>
      </c>
      <c r="B70" s="66">
        <v>1344.45</v>
      </c>
      <c r="C70" s="67">
        <f t="shared" si="8"/>
        <v>0.13734032653751815</v>
      </c>
      <c r="D70" s="65">
        <v>182.65</v>
      </c>
      <c r="E70" s="67">
        <f t="shared" si="9"/>
        <v>-9.7587422065599227E-3</v>
      </c>
      <c r="F70" s="66">
        <v>1306.9000000000001</v>
      </c>
      <c r="G70" s="67">
        <f t="shared" si="10"/>
        <v>5.8218623481781417E-2</v>
      </c>
      <c r="H70" s="66">
        <v>19189.05</v>
      </c>
      <c r="I70" s="67">
        <f t="shared" si="11"/>
        <v>3.5320808874309328E-2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3.8" x14ac:dyDescent="0.25">
      <c r="A71" s="64">
        <v>45108</v>
      </c>
      <c r="B71" s="66">
        <v>1385.5</v>
      </c>
      <c r="C71" s="67">
        <f t="shared" si="8"/>
        <v>3.0532931682100362E-2</v>
      </c>
      <c r="D71" s="65">
        <v>205.25</v>
      </c>
      <c r="E71" s="67">
        <f t="shared" si="9"/>
        <v>0.12373391732822325</v>
      </c>
      <c r="F71" s="66">
        <v>1282.1500000000001</v>
      </c>
      <c r="G71" s="67">
        <f t="shared" si="10"/>
        <v>-1.8937944754763181E-2</v>
      </c>
      <c r="H71" s="66">
        <v>19753.8</v>
      </c>
      <c r="I71" s="67">
        <f t="shared" si="11"/>
        <v>2.9430847280089489E-2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3.8" x14ac:dyDescent="0.25">
      <c r="A72" s="64">
        <v>45139</v>
      </c>
      <c r="B72" s="66">
        <v>1313.7</v>
      </c>
      <c r="C72" s="67">
        <f t="shared" si="8"/>
        <v>-5.1822446770119046E-2</v>
      </c>
      <c r="D72" s="65">
        <v>217.6</v>
      </c>
      <c r="E72" s="67">
        <f t="shared" si="9"/>
        <v>6.0170523751522431E-2</v>
      </c>
      <c r="F72" s="66">
        <v>1292.55</v>
      </c>
      <c r="G72" s="67">
        <f t="shared" si="10"/>
        <v>8.1113754240922376E-3</v>
      </c>
      <c r="H72" s="66">
        <v>19253.8</v>
      </c>
      <c r="I72" s="67">
        <f t="shared" si="11"/>
        <v>-2.5311585618969512E-2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3.8" x14ac:dyDescent="0.25">
      <c r="A73" s="64">
        <v>45170</v>
      </c>
      <c r="B73" s="66">
        <v>1309.55</v>
      </c>
      <c r="C73" s="67">
        <f t="shared" si="8"/>
        <v>-3.1590165182310281E-3</v>
      </c>
      <c r="D73" s="65">
        <v>225.4</v>
      </c>
      <c r="E73" s="67">
        <f t="shared" si="9"/>
        <v>3.5845588235294157E-2</v>
      </c>
      <c r="F73" s="66">
        <v>1305.4000000000001</v>
      </c>
      <c r="G73" s="67">
        <f t="shared" si="10"/>
        <v>9.9415883331399613E-3</v>
      </c>
      <c r="H73" s="66">
        <v>19638.3</v>
      </c>
      <c r="I73" s="67">
        <f t="shared" si="11"/>
        <v>1.9970083827608009E-2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3.8" x14ac:dyDescent="0.25">
      <c r="A74" s="64">
        <v>45200</v>
      </c>
      <c r="B74" s="66">
        <v>1373.8</v>
      </c>
      <c r="C74" s="67">
        <f t="shared" si="8"/>
        <v>4.9062655110534203E-2</v>
      </c>
      <c r="D74" s="65">
        <v>228.05</v>
      </c>
      <c r="E74" s="67">
        <f t="shared" si="9"/>
        <v>1.1756876663709059E-2</v>
      </c>
      <c r="F74" s="66">
        <v>1367.85</v>
      </c>
      <c r="G74" s="67">
        <f t="shared" si="10"/>
        <v>4.7839742607629798E-2</v>
      </c>
      <c r="H74" s="66">
        <v>19079.599999999999</v>
      </c>
      <c r="I74" s="67">
        <f t="shared" si="11"/>
        <v>-2.844950937708457E-2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3.8" x14ac:dyDescent="0.25">
      <c r="A75" s="64">
        <v>45231</v>
      </c>
      <c r="B75" s="66">
        <v>1480</v>
      </c>
      <c r="C75" s="67">
        <f t="shared" si="8"/>
        <v>7.7303828796040142E-2</v>
      </c>
      <c r="D75" s="65">
        <v>319.55</v>
      </c>
      <c r="E75" s="67">
        <f t="shared" si="9"/>
        <v>0.40122780092085075</v>
      </c>
      <c r="F75" s="66">
        <v>1435.25</v>
      </c>
      <c r="G75" s="67">
        <f t="shared" si="10"/>
        <v>4.9274408743648968E-2</v>
      </c>
      <c r="H75" s="66">
        <v>20133.150000000001</v>
      </c>
      <c r="I75" s="67">
        <f t="shared" si="11"/>
        <v>5.5218662865049728E-2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3.8" x14ac:dyDescent="0.25">
      <c r="A76" s="64">
        <v>45261</v>
      </c>
      <c r="B76" s="66">
        <v>1420.1</v>
      </c>
      <c r="C76" s="67">
        <f t="shared" si="8"/>
        <v>-4.0472972972973031E-2</v>
      </c>
      <c r="D76" s="65">
        <v>308.05</v>
      </c>
      <c r="E76" s="67">
        <f t="shared" si="9"/>
        <v>-3.5988108277264952E-2</v>
      </c>
      <c r="F76" s="66">
        <v>1432.6</v>
      </c>
      <c r="G76" s="67">
        <f t="shared" si="10"/>
        <v>-1.8463682285316807E-3</v>
      </c>
      <c r="H76" s="66">
        <v>21731.4</v>
      </c>
      <c r="I76" s="67">
        <f t="shared" si="11"/>
        <v>7.9384001013254268E-2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3.8" x14ac:dyDescent="0.25">
      <c r="A77" s="64">
        <v>45292</v>
      </c>
      <c r="B77" s="66">
        <v>1497.1</v>
      </c>
      <c r="C77" s="67">
        <f t="shared" si="8"/>
        <v>5.4221533694810198E-2</v>
      </c>
      <c r="D77" s="65">
        <v>376.75</v>
      </c>
      <c r="E77" s="67">
        <f t="shared" si="9"/>
        <v>0.22301574419737058</v>
      </c>
      <c r="F77" s="66">
        <v>1401.15</v>
      </c>
      <c r="G77" s="67">
        <f t="shared" si="10"/>
        <v>-2.1953092279770936E-2</v>
      </c>
      <c r="H77" s="66">
        <v>21725.7</v>
      </c>
      <c r="I77" s="67">
        <f t="shared" si="11"/>
        <v>-2.6229327148741266E-4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3.8" x14ac:dyDescent="0.25">
      <c r="A78" s="64">
        <v>45323</v>
      </c>
      <c r="B78" s="66">
        <v>1711.75</v>
      </c>
      <c r="C78" s="67">
        <f t="shared" si="8"/>
        <v>0.14337719591209686</v>
      </c>
      <c r="D78" s="65">
        <v>380.1</v>
      </c>
      <c r="E78" s="67">
        <f t="shared" si="9"/>
        <v>8.8918380889184689E-3</v>
      </c>
      <c r="F78" s="66">
        <v>1552.55</v>
      </c>
      <c r="G78" s="67">
        <f t="shared" si="10"/>
        <v>0.10805409841915559</v>
      </c>
      <c r="H78" s="66">
        <v>21982.799999999999</v>
      </c>
      <c r="I78" s="67">
        <f t="shared" si="11"/>
        <v>1.1833910990209695E-2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3.8" x14ac:dyDescent="0.25">
      <c r="A79" s="64">
        <v>45352</v>
      </c>
      <c r="B79" s="66">
        <v>1684.5</v>
      </c>
      <c r="C79" s="67">
        <f t="shared" si="8"/>
        <v>-1.5919380750693768E-2</v>
      </c>
      <c r="D79" s="65">
        <v>329.75</v>
      </c>
      <c r="E79" s="67">
        <f t="shared" si="9"/>
        <v>-0.13246514075243365</v>
      </c>
      <c r="F79" s="66">
        <v>1500.25</v>
      </c>
      <c r="G79" s="67">
        <f t="shared" si="10"/>
        <v>-3.3686515732182509E-2</v>
      </c>
      <c r="H79" s="66">
        <v>22326.9</v>
      </c>
      <c r="I79" s="67">
        <f t="shared" si="11"/>
        <v>1.5653147005840973E-2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3.8" x14ac:dyDescent="0.25">
      <c r="A80" s="64">
        <v>45383</v>
      </c>
      <c r="B80" s="66">
        <v>1710.65</v>
      </c>
      <c r="C80" s="67">
        <f t="shared" si="8"/>
        <v>1.5523894330661925E-2</v>
      </c>
      <c r="D80" s="65">
        <v>345.9</v>
      </c>
      <c r="E80" s="67">
        <f t="shared" si="9"/>
        <v>4.8976497346474579E-2</v>
      </c>
      <c r="F80" s="66">
        <v>1436.55</v>
      </c>
      <c r="G80" s="67">
        <f t="shared" si="10"/>
        <v>-4.2459590068322006E-2</v>
      </c>
      <c r="H80" s="66">
        <v>22604.85</v>
      </c>
      <c r="I80" s="67">
        <f t="shared" si="11"/>
        <v>1.2449108474530624E-2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3.8" x14ac:dyDescent="0.25">
      <c r="A81" s="68">
        <v>45413</v>
      </c>
      <c r="B81" s="66">
        <v>1580.75</v>
      </c>
      <c r="C81" s="67">
        <f t="shared" si="8"/>
        <v>-7.5936047701166243E-2</v>
      </c>
      <c r="D81" s="65">
        <v>356.1</v>
      </c>
      <c r="E81" s="67">
        <f t="shared" si="9"/>
        <v>2.9488291413703571E-2</v>
      </c>
      <c r="F81" s="66">
        <v>1386.4</v>
      </c>
      <c r="G81" s="67">
        <f t="shared" si="10"/>
        <v>-3.491002749643235E-2</v>
      </c>
      <c r="H81" s="66">
        <v>22530.7</v>
      </c>
      <c r="I81" s="67">
        <f t="shared" si="11"/>
        <v>-3.2802694996869608E-3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3.8" x14ac:dyDescent="0.25">
      <c r="A82" s="64">
        <v>45444</v>
      </c>
      <c r="B82" s="66">
        <v>1789.55</v>
      </c>
      <c r="C82" s="67">
        <f t="shared" si="8"/>
        <v>0.13208919816542775</v>
      </c>
      <c r="D82" s="65">
        <v>378.75</v>
      </c>
      <c r="E82" s="67">
        <f t="shared" si="9"/>
        <v>6.360572872788528E-2</v>
      </c>
      <c r="F82" s="66">
        <v>1491.95</v>
      </c>
      <c r="G82" s="67">
        <f t="shared" si="10"/>
        <v>7.6132429313329419E-2</v>
      </c>
      <c r="H82" s="66">
        <v>24010.6</v>
      </c>
      <c r="I82" s="67">
        <f t="shared" si="11"/>
        <v>6.5683711558007341E-2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3.8" x14ac:dyDescent="0.25">
      <c r="A83" s="64">
        <v>45474</v>
      </c>
      <c r="B83" s="66">
        <v>2007.8</v>
      </c>
      <c r="C83" s="67">
        <f t="shared" si="8"/>
        <v>0.1219580341426616</v>
      </c>
      <c r="D83" s="65">
        <v>429.95</v>
      </c>
      <c r="E83" s="67">
        <f t="shared" si="9"/>
        <v>0.13518151815181523</v>
      </c>
      <c r="F83" s="66">
        <v>1753.65</v>
      </c>
      <c r="G83" s="67">
        <f t="shared" si="10"/>
        <v>0.17540802305707293</v>
      </c>
      <c r="H83" s="66">
        <v>24951.15</v>
      </c>
      <c r="I83" s="67">
        <f t="shared" si="11"/>
        <v>3.917228224200997E-2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3.8" x14ac:dyDescent="0.25">
      <c r="A84" s="64">
        <v>45505</v>
      </c>
      <c r="B84" s="66">
        <v>2141.75</v>
      </c>
      <c r="C84" s="67">
        <f t="shared" si="8"/>
        <v>6.671481223229403E-2</v>
      </c>
      <c r="D84" s="65">
        <v>408.8</v>
      </c>
      <c r="E84" s="67">
        <f t="shared" si="9"/>
        <v>-4.9191766484474875E-2</v>
      </c>
      <c r="F84" s="66">
        <v>1850.3</v>
      </c>
      <c r="G84" s="67">
        <f t="shared" si="10"/>
        <v>5.5113620163658616E-2</v>
      </c>
      <c r="H84" s="66">
        <v>25235.9</v>
      </c>
      <c r="I84" s="67">
        <f t="shared" si="11"/>
        <v>1.141229963348378E-2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3.8" x14ac:dyDescent="0.25">
      <c r="A85" s="64">
        <v>45536</v>
      </c>
      <c r="B85" s="66">
        <v>2174.4</v>
      </c>
      <c r="C85" s="67">
        <f t="shared" si="8"/>
        <v>1.5244543013890555E-2</v>
      </c>
      <c r="D85" s="65">
        <v>395.6</v>
      </c>
      <c r="E85" s="67">
        <f t="shared" si="9"/>
        <v>-3.2289628180039109E-2</v>
      </c>
      <c r="F85" s="66">
        <v>1844</v>
      </c>
      <c r="G85" s="67">
        <f t="shared" si="10"/>
        <v>-3.4048532670377663E-3</v>
      </c>
      <c r="H85" s="66">
        <v>25810.85</v>
      </c>
      <c r="I85" s="67">
        <f t="shared" si="11"/>
        <v>2.2783019428670892E-2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3.8" x14ac:dyDescent="0.25">
      <c r="A86" s="64">
        <v>45566</v>
      </c>
      <c r="B86" s="66">
        <v>1917.35</v>
      </c>
      <c r="C86" s="67">
        <f t="shared" si="8"/>
        <v>-0.11821651949963219</v>
      </c>
      <c r="D86" s="65">
        <v>369.2</v>
      </c>
      <c r="E86" s="67">
        <f t="shared" si="9"/>
        <v>-6.6734074823053713E-2</v>
      </c>
      <c r="F86" s="66">
        <v>1622.15</v>
      </c>
      <c r="G86" s="67">
        <f t="shared" si="10"/>
        <v>-0.12030911062906724</v>
      </c>
      <c r="H86" s="66">
        <v>24205.35</v>
      </c>
      <c r="I86" s="67">
        <f t="shared" si="11"/>
        <v>-6.2202523357425266E-2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3.8" x14ac:dyDescent="0.25">
      <c r="A87" s="64">
        <v>45597</v>
      </c>
      <c r="B87" s="66">
        <v>1861.85</v>
      </c>
      <c r="C87" s="67">
        <f t="shared" si="8"/>
        <v>-2.8946201788927373E-2</v>
      </c>
      <c r="D87" s="65">
        <v>399.6</v>
      </c>
      <c r="E87" s="67">
        <f t="shared" si="9"/>
        <v>8.234019501625145E-2</v>
      </c>
      <c r="F87" s="66">
        <v>1437.75</v>
      </c>
      <c r="G87" s="67">
        <f t="shared" si="10"/>
        <v>-0.11367629380760103</v>
      </c>
      <c r="H87" s="66">
        <v>24131.1</v>
      </c>
      <c r="I87" s="67">
        <f t="shared" si="11"/>
        <v>-3.0675036717089377E-3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3.8" x14ac:dyDescent="0.25">
      <c r="A88" s="64">
        <v>45627</v>
      </c>
      <c r="B88" s="66">
        <v>1787.75</v>
      </c>
      <c r="C88" s="67">
        <f t="shared" si="8"/>
        <v>-3.9799124526680441E-2</v>
      </c>
      <c r="D88" s="65">
        <v>444.25</v>
      </c>
      <c r="E88" s="67">
        <f t="shared" si="9"/>
        <v>0.11173673673673656</v>
      </c>
      <c r="F88" s="66">
        <v>1390.4</v>
      </c>
      <c r="G88" s="67">
        <f t="shared" si="10"/>
        <v>-3.2933402886454521E-2</v>
      </c>
      <c r="H88" s="66">
        <v>23644.799999999999</v>
      </c>
      <c r="I88" s="67">
        <f t="shared" si="11"/>
        <v>-2.0152417419844082E-2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3.8" x14ac:dyDescent="0.25">
      <c r="A89" s="64">
        <v>45658</v>
      </c>
      <c r="B89" s="66">
        <v>1858.5</v>
      </c>
      <c r="C89" s="67">
        <f t="shared" si="8"/>
        <v>3.9574884631520035E-2</v>
      </c>
      <c r="D89" s="65">
        <v>411.45</v>
      </c>
      <c r="E89" s="67">
        <f t="shared" si="9"/>
        <v>-7.383230163196397E-2</v>
      </c>
      <c r="F89" s="66">
        <v>1483.6</v>
      </c>
      <c r="G89" s="67">
        <f t="shared" si="10"/>
        <v>6.7031070195626929E-2</v>
      </c>
      <c r="H89" s="66">
        <v>23508.400000000001</v>
      </c>
      <c r="I89" s="67">
        <f t="shared" si="11"/>
        <v>-5.7687102449586192E-3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3.8" x14ac:dyDescent="0.25">
      <c r="A90" s="64">
        <v>45689</v>
      </c>
      <c r="B90" s="66">
        <v>1690.95</v>
      </c>
      <c r="C90" s="67">
        <f t="shared" si="8"/>
        <v>-9.0153349475383338E-2</v>
      </c>
      <c r="D90" s="65">
        <v>368.9</v>
      </c>
      <c r="E90" s="67">
        <f t="shared" si="9"/>
        <v>-0.10341475270385225</v>
      </c>
      <c r="F90" s="66">
        <v>1430.5</v>
      </c>
      <c r="G90" s="67">
        <f t="shared" si="10"/>
        <v>-3.5791318414666984E-2</v>
      </c>
      <c r="H90" s="66">
        <v>22124.7</v>
      </c>
      <c r="I90" s="67">
        <f t="shared" si="11"/>
        <v>-5.8859811811948104E-2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3.8" x14ac:dyDescent="0.25">
      <c r="A91" s="64">
        <v>45717</v>
      </c>
      <c r="B91" s="66">
        <v>1792.85</v>
      </c>
      <c r="C91" s="67">
        <f t="shared" si="8"/>
        <v>6.0261982909015632E-2</v>
      </c>
      <c r="D91" s="65">
        <v>421.1</v>
      </c>
      <c r="E91" s="67">
        <f t="shared" si="9"/>
        <v>0.14150176199512066</v>
      </c>
      <c r="F91" s="66">
        <v>1547.85</v>
      </c>
      <c r="G91" s="67">
        <f t="shared" si="10"/>
        <v>8.2034253757427456E-2</v>
      </c>
      <c r="H91" s="66">
        <v>23519.35</v>
      </c>
      <c r="I91" s="67">
        <f t="shared" si="11"/>
        <v>6.3035882972424462E-2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3.8" x14ac:dyDescent="0.25">
      <c r="A92" s="64">
        <v>45748</v>
      </c>
      <c r="B92" s="66">
        <v>1876.5</v>
      </c>
      <c r="C92" s="67">
        <f t="shared" si="8"/>
        <v>4.6657556404607226E-2</v>
      </c>
      <c r="D92" s="65">
        <v>417.15</v>
      </c>
      <c r="E92" s="67">
        <f t="shared" si="9"/>
        <v>-9.3801947280931497E-3</v>
      </c>
      <c r="F92" s="66">
        <v>1765.8</v>
      </c>
      <c r="G92" s="67">
        <f t="shared" si="10"/>
        <v>0.14080821785056696</v>
      </c>
      <c r="H92" s="66">
        <v>24334.2</v>
      </c>
      <c r="I92" s="67">
        <f t="shared" si="11"/>
        <v>3.4645940470293679E-2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3.8" x14ac:dyDescent="0.25">
      <c r="A93" s="68">
        <v>45778</v>
      </c>
      <c r="B93" s="66">
        <v>1875.4</v>
      </c>
      <c r="C93" s="67">
        <f t="shared" si="8"/>
        <v>-5.8619770849976938E-4</v>
      </c>
      <c r="D93" s="65">
        <v>411.6</v>
      </c>
      <c r="E93" s="67">
        <f t="shared" si="9"/>
        <v>-1.3304566702624809E-2</v>
      </c>
      <c r="F93" s="66">
        <v>1812.2</v>
      </c>
      <c r="G93" s="67">
        <f t="shared" si="10"/>
        <v>2.6277041567561499E-2</v>
      </c>
      <c r="H93" s="66">
        <v>24750.7</v>
      </c>
      <c r="I93" s="67">
        <f t="shared" si="11"/>
        <v>1.7115828751304685E-2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3.8" x14ac:dyDescent="0.25">
      <c r="A94" s="64">
        <v>45809</v>
      </c>
      <c r="B94" s="66">
        <v>2040.2</v>
      </c>
      <c r="C94" s="67">
        <f t="shared" si="8"/>
        <v>8.7874586754825623E-2</v>
      </c>
      <c r="D94" s="65">
        <v>385.15</v>
      </c>
      <c r="E94" s="67">
        <f t="shared" si="9"/>
        <v>-6.4261418853255647E-2</v>
      </c>
      <c r="F94" s="66">
        <v>1838.3</v>
      </c>
      <c r="G94" s="67">
        <f t="shared" si="10"/>
        <v>1.440238384284287E-2</v>
      </c>
      <c r="H94" s="66">
        <v>25517.05</v>
      </c>
      <c r="I94" s="67">
        <f t="shared" si="11"/>
        <v>3.0962760649193788E-2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3.8" x14ac:dyDescent="0.25">
      <c r="A95" s="64">
        <v>45839</v>
      </c>
      <c r="B95" s="66">
        <v>1927</v>
      </c>
      <c r="C95" s="67">
        <f t="shared" si="8"/>
        <v>-5.5484756396431689E-2</v>
      </c>
      <c r="D95" s="65">
        <v>392.15</v>
      </c>
      <c r="E95" s="67">
        <f t="shared" si="9"/>
        <v>1.8174737115409512E-2</v>
      </c>
      <c r="F95" s="66">
        <v>1840.7</v>
      </c>
      <c r="G95" s="67">
        <f t="shared" si="10"/>
        <v>1.3055540444977254E-3</v>
      </c>
      <c r="H95" s="66">
        <v>24768.35</v>
      </c>
      <c r="I95" s="67">
        <f t="shared" si="11"/>
        <v>-2.9341166004691055E-2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3.8" x14ac:dyDescent="0.25">
      <c r="A96" s="64">
        <v>45870</v>
      </c>
      <c r="B96" s="66">
        <v>1839.6</v>
      </c>
      <c r="C96" s="67">
        <f t="shared" si="8"/>
        <v>-4.5355474831344056E-2</v>
      </c>
      <c r="D96" s="65">
        <v>363.65</v>
      </c>
      <c r="E96" s="67">
        <f t="shared" si="9"/>
        <v>-7.2676271834757111E-2</v>
      </c>
      <c r="F96" s="66">
        <v>1805.5</v>
      </c>
      <c r="G96" s="67">
        <f t="shared" si="10"/>
        <v>-1.9123159667517764E-2</v>
      </c>
      <c r="H96" s="66">
        <v>24426.85</v>
      </c>
      <c r="I96" s="67">
        <f t="shared" si="11"/>
        <v>-1.3787757359694952E-2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3.8" x14ac:dyDescent="0.25">
      <c r="A97" s="64">
        <v>45901</v>
      </c>
      <c r="B97" s="66">
        <v>1889.8</v>
      </c>
      <c r="C97" s="67">
        <f t="shared" si="8"/>
        <v>2.7288540987171039E-2</v>
      </c>
      <c r="D97" s="65">
        <v>368.65</v>
      </c>
      <c r="E97" s="67">
        <f t="shared" si="9"/>
        <v>1.3749484394335321E-2</v>
      </c>
      <c r="F97" s="66">
        <v>1790.6</v>
      </c>
      <c r="G97" s="67">
        <f t="shared" si="10"/>
        <v>-8.2525616172806071E-3</v>
      </c>
      <c r="H97" s="66">
        <v>24611.1</v>
      </c>
      <c r="I97" s="67">
        <f t="shared" si="11"/>
        <v>7.5429291947182175E-3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3.8" x14ac:dyDescent="0.25">
      <c r="A98" s="64">
        <v>45931</v>
      </c>
      <c r="B98" s="66">
        <v>1993.7</v>
      </c>
      <c r="C98" s="67">
        <f t="shared" si="8"/>
        <v>5.4979362895544615E-2</v>
      </c>
      <c r="D98" s="65">
        <v>374.2</v>
      </c>
      <c r="E98" s="67">
        <f t="shared" si="9"/>
        <v>1.5054930150549373E-2</v>
      </c>
      <c r="F98" s="66">
        <v>1955.7</v>
      </c>
      <c r="G98" s="67">
        <f t="shared" si="10"/>
        <v>9.2203730593097388E-2</v>
      </c>
      <c r="H98" s="66">
        <v>25722.1</v>
      </c>
      <c r="I98" s="67">
        <f t="shared" si="11"/>
        <v>4.5142232569856722E-2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3.8" x14ac:dyDescent="0.25">
      <c r="A99" s="64">
        <v>45962</v>
      </c>
      <c r="B99" s="66">
        <v>1970.5</v>
      </c>
      <c r="C99" s="67">
        <f t="shared" ref="C99:C130" si="12">B99/B98-1</f>
        <v>-1.1636655464713819E-2</v>
      </c>
      <c r="D99" s="65">
        <v>387.2</v>
      </c>
      <c r="E99" s="67">
        <f t="shared" ref="E99:E130" si="13">D99/D98-1</f>
        <v>3.4740780331373511E-2</v>
      </c>
      <c r="F99" s="66">
        <v>1966</v>
      </c>
      <c r="G99" s="67">
        <f t="shared" ref="G99:G130" si="14">F99/F98-1</f>
        <v>5.2666564401493421E-3</v>
      </c>
      <c r="H99" s="66">
        <v>26202.95</v>
      </c>
      <c r="I99" s="67">
        <f t="shared" ref="I99:I130" si="15">H99/H98-1</f>
        <v>1.8694041310779452E-2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3.8" x14ac:dyDescent="0.25">
      <c r="A100" s="64">
        <v>45992</v>
      </c>
      <c r="B100" s="66">
        <v>1962.1</v>
      </c>
      <c r="C100" s="67">
        <f t="shared" si="12"/>
        <v>-4.2628774422736049E-3</v>
      </c>
      <c r="D100" s="65">
        <v>380.8</v>
      </c>
      <c r="E100" s="67">
        <f t="shared" si="13"/>
        <v>-1.6528925619834656E-2</v>
      </c>
      <c r="F100" s="66">
        <v>2034.9</v>
      </c>
      <c r="G100" s="67">
        <f t="shared" si="14"/>
        <v>3.5045778229908509E-2</v>
      </c>
      <c r="H100" s="66">
        <v>26129.599999999999</v>
      </c>
      <c r="I100" s="67">
        <f t="shared" si="15"/>
        <v>-2.7993031318993555E-3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3.8" x14ac:dyDescent="0.25">
      <c r="A101" s="64">
        <v>46023</v>
      </c>
      <c r="B101" s="66">
        <v>1814.1</v>
      </c>
      <c r="C101" s="67">
        <f t="shared" si="12"/>
        <v>-7.5429386881402549E-2</v>
      </c>
      <c r="D101" s="65">
        <v>378.05</v>
      </c>
      <c r="E101" s="67">
        <f t="shared" si="13"/>
        <v>-7.2216386554622147E-3</v>
      </c>
      <c r="F101" s="66">
        <v>1998.5</v>
      </c>
      <c r="G101" s="67">
        <f t="shared" si="14"/>
        <v>-1.7887856897144894E-2</v>
      </c>
      <c r="H101" s="66">
        <v>25320.65</v>
      </c>
      <c r="I101" s="67">
        <f t="shared" si="15"/>
        <v>-3.0959142122343852E-2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3.8" x14ac:dyDescent="0.25">
      <c r="A102" s="64">
        <v>46054</v>
      </c>
      <c r="B102" s="66">
        <v>1901.5</v>
      </c>
      <c r="C102" s="67">
        <f t="shared" si="12"/>
        <v>4.8178159969130663E-2</v>
      </c>
      <c r="D102" s="65">
        <v>383.05</v>
      </c>
      <c r="E102" s="67">
        <f t="shared" si="13"/>
        <v>1.322576378785878E-2</v>
      </c>
      <c r="F102" s="66">
        <v>2037.2</v>
      </c>
      <c r="G102" s="67">
        <f t="shared" si="14"/>
        <v>1.9364523392544353E-2</v>
      </c>
      <c r="H102" s="66">
        <v>25178.65</v>
      </c>
      <c r="I102" s="67">
        <f t="shared" si="15"/>
        <v>-5.6080708828565307E-3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3.8" x14ac:dyDescent="0.25">
      <c r="A103" s="64">
        <v>46082</v>
      </c>
      <c r="B103" s="66">
        <v>1710.6</v>
      </c>
      <c r="C103" s="67">
        <f t="shared" si="12"/>
        <v>-0.10039442545358934</v>
      </c>
      <c r="D103" s="65">
        <v>362.95</v>
      </c>
      <c r="E103" s="67">
        <f t="shared" si="13"/>
        <v>-5.2473567419397016E-2</v>
      </c>
      <c r="F103" s="66">
        <v>1777.3</v>
      </c>
      <c r="G103" s="67">
        <f t="shared" si="14"/>
        <v>-0.12757706656194778</v>
      </c>
      <c r="H103" s="66">
        <v>22331.4</v>
      </c>
      <c r="I103" s="67">
        <f t="shared" si="15"/>
        <v>-0.11308191662380629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3.8" x14ac:dyDescent="0.25">
      <c r="A104" s="64">
        <v>46113</v>
      </c>
      <c r="B104" s="66">
        <v>1763.2</v>
      </c>
      <c r="C104" s="67">
        <f t="shared" si="12"/>
        <v>3.0749444639307955E-2</v>
      </c>
      <c r="D104" s="65">
        <v>393.4</v>
      </c>
      <c r="E104" s="67">
        <f t="shared" si="13"/>
        <v>8.3895853423336497E-2</v>
      </c>
      <c r="F104" s="66">
        <v>1819</v>
      </c>
      <c r="G104" s="67">
        <f t="shared" si="14"/>
        <v>2.3462555561807319E-2</v>
      </c>
      <c r="H104" s="66">
        <v>23997.55</v>
      </c>
      <c r="I104" s="67">
        <f t="shared" si="15"/>
        <v>7.4610190135862453E-2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3.8" x14ac:dyDescent="0.25">
      <c r="A105" s="68">
        <v>46143</v>
      </c>
      <c r="B105" s="66">
        <v>1792.2</v>
      </c>
      <c r="C105" s="67">
        <f t="shared" si="12"/>
        <v>1.6447368421052655E-2</v>
      </c>
      <c r="D105" s="65">
        <v>381.25</v>
      </c>
      <c r="E105" s="67">
        <f t="shared" si="13"/>
        <v>-3.0884595831214945E-2</v>
      </c>
      <c r="F105" s="66">
        <v>1830.1</v>
      </c>
      <c r="G105" s="67">
        <f t="shared" si="14"/>
        <v>6.1022539857062963E-3</v>
      </c>
      <c r="H105" s="66">
        <v>23547.75</v>
      </c>
      <c r="I105" s="67">
        <f t="shared" si="15"/>
        <v>-1.8743580073799171E-2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3.8" x14ac:dyDescent="0.25">
      <c r="A106" s="64">
        <v>46174</v>
      </c>
      <c r="B106" s="66">
        <v>1747.9</v>
      </c>
      <c r="C106" s="67">
        <f t="shared" si="12"/>
        <v>-2.4718223412565576E-2</v>
      </c>
      <c r="D106" s="65">
        <v>363.5</v>
      </c>
      <c r="E106" s="67">
        <f t="shared" si="13"/>
        <v>-4.6557377049180282E-2</v>
      </c>
      <c r="F106" s="66">
        <v>1765.7</v>
      </c>
      <c r="G106" s="67">
        <f t="shared" si="14"/>
        <v>-3.5189333916179399E-2</v>
      </c>
      <c r="H106" s="69">
        <v>23382.6</v>
      </c>
      <c r="I106" s="67">
        <f t="shared" si="15"/>
        <v>-7.0134089244195952E-3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3.8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3.8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3.8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3.8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3.8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3.8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3.8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3.8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3.8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3.8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3.8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3.8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3.8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3.8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3.8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3.8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3.8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3.8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3.8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3.8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3.8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3.8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3.8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3.8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3.8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3.8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3.8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3.8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3.8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3.8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3.8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3.8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3.8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3.8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3.8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3.8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3.8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3.8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3.8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3.8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3.8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3.8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3.8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3.8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3.8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3.8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3.8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3.8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3.8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3.8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3.8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3.8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3.8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3.8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3.8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3.8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3.8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3.8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3.8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3.8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3.8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3.8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3.8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3.8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3.8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3.8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3.8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3.8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3.8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3.8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3.8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3.8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3.8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3.8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3.8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3.8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3.8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3.8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3.8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3.8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3.8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3.8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3.8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3.8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3.8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3.8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3.8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3.8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3.8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3.8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3.8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3.8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3.8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3.8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3.8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3.8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3.8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3.8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3.8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3.8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3.8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3.8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3.8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3.8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3.8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3.8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3.8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3.8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3.8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3.8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3.8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3.8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3.8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3.8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3.8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3.8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3.8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3.8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3.8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3.8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3.8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3.8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3.8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3.8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3.8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3.8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3.8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3.8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3.8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3.8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3.8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3.8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3.8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3.8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3.8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3.8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3.8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3.8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3.8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3.8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3.8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3.8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3.8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3.8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3.8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3.8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3.8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3.8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3.8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3.8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3.8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3.8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3.8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3.8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3.8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3.8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3.8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3.8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3.8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3.8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3.8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3.8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3.8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3.8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3.8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3.8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3.8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3.8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3.8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3.8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3.8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3.8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3.8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3.8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3.8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3.8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3.8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3.8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3.8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3.8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3.8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3.8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3.8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3.8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3.8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3.8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3.8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3.8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3.8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3.8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3.8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3.8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3.8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3.8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3.8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3.8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3.8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3.8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3.8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3.8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3.8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3.8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3.8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3.8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3.8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3.8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3.8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3.8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3.8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3.8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3.8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3.8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3.8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3.8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3.8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3.8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3.8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3.8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3.8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3.8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3.8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3.8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3.8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3.8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3.8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3.8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3.8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3.8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3.8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3.8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3.8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3.8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3.8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3.8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3.8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3.8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3.8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3.8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3.8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3.8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3.8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3.8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3.8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3.8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3.8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3.8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3.8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3.8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3.8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3.8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3.8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3.8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3.8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3.8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3.8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3.8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3.8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3.8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3.8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3.8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3.8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3.8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3.8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3.8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3.8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3.8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3.8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3.8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3.8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3.8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3.8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3.8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3.8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3.8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3.8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3.8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3.8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3.8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3.8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3.8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3.8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3.8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3.8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3.8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3.8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3.8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3.8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3.8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3.8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3.8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3.8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3.8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3.8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3.8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3.8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3.8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3.8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3.8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3.8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3.8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3.8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3.8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3.8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3.8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3.8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3.8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3.8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3.8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3.8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3.8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3.8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3.8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3.8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3.8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3.8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3.8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3.8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3.8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3.8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3.8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3.8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3.8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3.8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3.8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3.8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3.8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3.8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3.8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3.8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3.8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3.8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3.8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3.8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3.8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3.8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3.8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3.8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3.8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3.8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3.8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3.8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3.8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3.8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3.8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3.8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3.8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3.8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3.8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3.8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3.8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3.8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3.8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3.8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3.8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3.8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3.8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3.8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3.8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3.8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3.8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3.8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3.8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3.8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3.8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3.8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3.8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3.8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3.8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3.8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3.8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3.8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3.8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3.8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3.8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3.8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3.8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3.8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3.8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3.8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3.8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3.8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3.8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3.8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3.8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3.8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3.8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3.8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3.8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3.8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3.8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3.8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3.8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3.8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3.8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3.8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3.8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3.8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3.8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3.8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3.8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3.8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3.8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3.8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3.8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3.8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3.8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3.8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3.8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3.8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3.8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3.8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3.8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3.8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3.8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3.8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3.8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3.8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3.8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3.8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3.8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3.8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3.8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3.8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3.8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3.8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3.8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3.8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3.8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3.8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3.8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3.8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3.8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3.8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3.8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3.8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3.8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3.8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3.8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3.8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3.8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3.8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3.8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3.8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3.8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3.8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3.8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3.8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3.8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3.8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3.8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3.8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3.8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3.8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3.8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3.8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3.8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3.8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3.8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3.8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3.8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3.8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3.8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3.8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3.8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3.8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3.8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3.8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3.8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3.8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3.8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3.8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3.8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3.8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3.8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3.8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3.8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3.8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3.8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3.8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3.8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3.8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3.8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3.8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3.8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3.8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3.8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3.8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3.8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3.8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3.8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3.8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3.8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3.8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3.8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3.8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3.8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3.8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3.8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3.8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3.8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3.8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3.8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3.8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3.8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3.8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3.8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3.8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3.8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3.8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3.8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3.8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3.8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3.8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3.8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3.8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3.8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3.8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3.8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3.8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3.8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3.8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3.8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3.8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3.8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3.8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3.8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3.8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3.8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3.8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3.8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3.8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3.8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3.8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3.8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3.8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3.8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3.8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3.8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3.8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3.8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3.8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3.8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3.8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3.8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3.8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3.8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3.8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3.8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3.8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3.8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3.8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3.8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3.8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3.8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3.8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3.8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3.8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3.8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3.8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3.8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3.8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3.8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3.8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3.8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3.8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3.8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3.8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3.8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3.8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3.8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3.8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3.8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3.8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3.8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3.8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3.8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3.8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3.8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3.8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3.8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3.8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3.8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3.8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3.8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3.8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3.8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3.8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3.8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3.8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3.8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3.8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3.8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3.8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3.8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3.8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3.8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3.8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3.8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3.8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3.8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3.8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3.8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3.8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3.8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3.8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3.8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3.8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3.8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3.8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3.8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3.8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3.8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3.8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3.8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3.8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3.8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3.8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3.8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3.8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3.8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3.8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3.8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3.8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3.8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3.8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3.8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3.8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3.8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3.8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3.8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3.8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3.8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3.8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3.8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3.8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3.8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3.8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3.8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3.8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3.8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3.8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3.8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3.8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3.8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3.8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3.8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3.8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3.8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3.8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3.8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3.8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3.8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3.8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3.8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3.8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3.8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3.8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3.8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3.8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3.8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3.8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3.8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3.8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3.8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3.8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3.8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3.8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3.8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3.8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3.8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3.8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3.8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3.8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3.8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3.8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3.8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3.8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3.8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3.8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3.8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3.8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3.8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3.8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3.8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3.8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3.8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3.8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3.8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3.8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3.8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3.8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3.8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3.8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3.8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3.8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3.8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3.8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3.8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3.8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3.8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3.8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3.8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3.8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3.8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3.8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3.8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3.8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3.8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3.8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3.8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3.8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3.8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3.8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3.8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3.8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3.8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3.8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3.8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3.8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3.8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3.8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3.8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3.8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3.8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3.8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3.8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3.8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3.8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3.8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3.8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3.8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3.8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3.8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3.8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3.8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3.8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3.8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3.8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3.8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3.8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3.8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3.8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3.8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3.8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3.8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3.8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3.8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3.8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3.8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3.8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3.8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3.8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3.8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3.8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3.8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3.8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3.8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3.8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3.8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3.8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3.8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3.8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3.8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3.8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3.8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3.8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3.8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3.8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3.8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3.8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3.8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3.8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3.8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3.8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3.8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3.8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3.8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3.8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3.8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3.8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3.8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3.8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3.8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3.8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3.8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3.8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3.8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3.8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3.8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3.8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3.8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3.8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3.8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3.8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3.8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3.8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3.8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3.8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3.8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3.8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3.8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3.8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3.8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3.8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3.8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3.8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3.8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3.8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3.8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3.8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3.8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3.8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3.8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3.8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3.8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3.8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3.8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3.8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3.8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3.8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3.8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3.8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3.8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3.8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3.8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3.8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3.8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3.8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3.8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3.8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3.8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3.8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3.8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3.8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3.8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3.8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3.8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3.8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3.8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3.8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3.8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3.8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3.8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3.8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3.8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3.8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3.8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3.8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3.8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3.8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3.8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3.8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3.8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3.8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3.8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3.8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3.8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3.8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3.8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3.8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3.8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3.8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3.8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3.8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3.8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3.8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3.8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3.8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3.8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3.8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3.8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3.8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3.8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3.8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3.8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3.8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3.8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3.8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3.8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3.8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3.8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3.8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3.8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3.8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3.8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3.8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3.8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3.8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3.8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3.8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3.8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3.8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3.8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3.8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3.8" x14ac:dyDescent="0.2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F1" zoomScaleNormal="100" workbookViewId="0">
      <selection activeCell="I20" sqref="A1:XFD1048576"/>
    </sheetView>
  </sheetViews>
  <sheetFormatPr defaultColWidth="12.6640625" defaultRowHeight="13.2" x14ac:dyDescent="0.25"/>
  <cols>
    <col min="1" max="1" width="9.88671875" style="143" bestFit="1" customWidth="1"/>
    <col min="2" max="2" width="21.109375" style="143" bestFit="1" customWidth="1"/>
    <col min="3" max="3" width="16" style="143" bestFit="1" customWidth="1"/>
    <col min="4" max="4" width="23" style="143" customWidth="1"/>
    <col min="5" max="10" width="12.6640625" style="143"/>
    <col min="11" max="11" width="9.88671875" style="143" bestFit="1" customWidth="1"/>
    <col min="12" max="12" width="15.88671875" style="143" bestFit="1" customWidth="1"/>
    <col min="13" max="13" width="16" style="143" bestFit="1" customWidth="1"/>
    <col min="14" max="16384" width="12.6640625" style="143"/>
  </cols>
  <sheetData>
    <row r="1" spans="1:26" ht="13.8" x14ac:dyDescent="0.25">
      <c r="A1" s="138" t="s">
        <v>10</v>
      </c>
      <c r="B1" s="139" t="s">
        <v>11</v>
      </c>
      <c r="C1" s="140" t="s">
        <v>19</v>
      </c>
      <c r="D1" s="141"/>
      <c r="E1" s="141"/>
      <c r="F1" s="141"/>
      <c r="G1" s="141"/>
      <c r="H1" s="141"/>
      <c r="I1" s="141"/>
      <c r="J1" s="141"/>
      <c r="K1" s="138" t="s">
        <v>10</v>
      </c>
      <c r="L1" s="139" t="s">
        <v>17</v>
      </c>
      <c r="M1" s="140" t="s">
        <v>19</v>
      </c>
      <c r="N1" s="141"/>
      <c r="O1" s="141"/>
      <c r="P1" s="141"/>
      <c r="Q1" s="141"/>
      <c r="R1" s="141"/>
      <c r="S1" s="141"/>
      <c r="T1" s="141"/>
      <c r="U1" s="141" t="s">
        <v>20</v>
      </c>
      <c r="V1" s="142">
        <v>0.06</v>
      </c>
      <c r="W1" s="141"/>
      <c r="X1" s="141"/>
      <c r="Y1" s="141"/>
      <c r="Z1" s="141"/>
    </row>
    <row r="2" spans="1:26" ht="13.8" x14ac:dyDescent="0.25">
      <c r="A2" s="144">
        <v>42979</v>
      </c>
      <c r="B2" s="145">
        <v>680.2</v>
      </c>
      <c r="C2" s="146"/>
      <c r="D2" s="141"/>
      <c r="E2" s="141"/>
      <c r="F2" s="141"/>
      <c r="G2" s="141"/>
      <c r="H2" s="141"/>
      <c r="I2" s="141"/>
      <c r="J2" s="141"/>
      <c r="K2" s="144">
        <v>42979</v>
      </c>
      <c r="L2" s="145">
        <v>9788.6</v>
      </c>
      <c r="M2" s="146"/>
      <c r="N2" s="141"/>
      <c r="O2" s="141"/>
      <c r="P2" s="147" t="s">
        <v>21</v>
      </c>
      <c r="Q2" s="148">
        <f>COVAR(C4:C107,M4:M107)*104/103</f>
        <v>1.9821166860513524E-3</v>
      </c>
      <c r="R2" s="141"/>
      <c r="S2" s="141"/>
      <c r="T2" s="141"/>
      <c r="U2" s="141" t="s">
        <v>22</v>
      </c>
      <c r="V2" s="142">
        <v>0.15</v>
      </c>
      <c r="W2" s="141"/>
      <c r="X2" s="141"/>
      <c r="Y2" s="141"/>
      <c r="Z2" s="141"/>
    </row>
    <row r="3" spans="1:26" ht="13.8" x14ac:dyDescent="0.25">
      <c r="A3" s="144">
        <v>43009</v>
      </c>
      <c r="B3" s="145">
        <v>677</v>
      </c>
      <c r="C3" s="149">
        <f t="shared" ref="C3:C34" si="0">B3/B2-1</f>
        <v>-4.7044986768598474E-3</v>
      </c>
      <c r="D3" s="150" t="s">
        <v>23</v>
      </c>
      <c r="E3" s="151">
        <f>AVERAGE(C4:C107)</f>
        <v>1.1310284151969162E-2</v>
      </c>
      <c r="F3" s="141"/>
      <c r="G3" s="141"/>
      <c r="H3" s="141"/>
      <c r="I3" s="141"/>
      <c r="J3" s="141"/>
      <c r="K3" s="144">
        <v>43009</v>
      </c>
      <c r="L3" s="145">
        <v>10335.299999999999</v>
      </c>
      <c r="M3" s="149">
        <f t="shared" ref="M3:M34" si="1">L3/L2-1</f>
        <v>5.585068344809252E-2</v>
      </c>
      <c r="N3" s="141"/>
      <c r="O3" s="141"/>
      <c r="P3" s="147" t="s">
        <v>24</v>
      </c>
      <c r="Q3" s="148">
        <f>VAR(M4:M107)</f>
        <v>2.3768482276086546E-3</v>
      </c>
      <c r="R3" s="141"/>
      <c r="S3" s="141"/>
      <c r="T3" s="141"/>
      <c r="U3" s="141"/>
      <c r="V3" s="141"/>
      <c r="W3" s="141"/>
      <c r="X3" s="141"/>
      <c r="Y3" s="141"/>
      <c r="Z3" s="141"/>
    </row>
    <row r="4" spans="1:26" ht="13.8" x14ac:dyDescent="0.25">
      <c r="A4" s="144">
        <v>43040</v>
      </c>
      <c r="B4" s="145">
        <v>714.35</v>
      </c>
      <c r="C4" s="149">
        <f t="shared" si="0"/>
        <v>5.5169867060561373E-2</v>
      </c>
      <c r="D4" s="150" t="s">
        <v>25</v>
      </c>
      <c r="E4" s="152">
        <f>E3*12</f>
        <v>0.13572340982362993</v>
      </c>
      <c r="F4" s="141"/>
      <c r="G4" s="141"/>
      <c r="H4" s="141"/>
      <c r="I4" s="141"/>
      <c r="J4" s="141"/>
      <c r="K4" s="144">
        <v>43040</v>
      </c>
      <c r="L4" s="145">
        <v>10226.549999999999</v>
      </c>
      <c r="M4" s="149">
        <f t="shared" si="1"/>
        <v>-1.0522190937853781E-2</v>
      </c>
      <c r="N4" s="141"/>
      <c r="O4" s="141"/>
      <c r="P4" s="147" t="s">
        <v>26</v>
      </c>
      <c r="Q4" s="153">
        <f>Q2/Q3</f>
        <v>0.83392648425244997</v>
      </c>
      <c r="R4" s="141"/>
      <c r="S4" s="141"/>
      <c r="T4" s="141"/>
      <c r="U4" s="141"/>
      <c r="V4" s="141"/>
      <c r="W4" s="141"/>
      <c r="X4" s="141"/>
      <c r="Y4" s="141"/>
      <c r="Z4" s="141"/>
    </row>
    <row r="5" spans="1:26" ht="13.8" x14ac:dyDescent="0.25">
      <c r="A5" s="144">
        <v>43070</v>
      </c>
      <c r="B5" s="145">
        <v>775.5</v>
      </c>
      <c r="C5" s="149">
        <f t="shared" si="0"/>
        <v>8.5602295793378635E-2</v>
      </c>
      <c r="D5" s="150" t="s">
        <v>27</v>
      </c>
      <c r="E5" s="154">
        <f>STDEV(C4:C107)</f>
        <v>6.6280758182647087E-2</v>
      </c>
      <c r="F5" s="141"/>
      <c r="G5" s="141"/>
      <c r="H5" s="141"/>
      <c r="I5" s="141"/>
      <c r="J5" s="141"/>
      <c r="K5" s="144">
        <v>43070</v>
      </c>
      <c r="L5" s="145">
        <v>10530.7</v>
      </c>
      <c r="M5" s="149">
        <f t="shared" si="1"/>
        <v>2.9741212823484187E-2</v>
      </c>
      <c r="N5" s="141"/>
      <c r="O5" s="141"/>
      <c r="P5" s="147" t="s">
        <v>28</v>
      </c>
      <c r="Q5" s="148">
        <f>SLOPE(C4:C107,M4:M107)</f>
        <v>0.83392648425244964</v>
      </c>
      <c r="R5" s="141"/>
      <c r="S5" s="141"/>
      <c r="T5" s="141"/>
      <c r="U5" s="141"/>
      <c r="V5" s="141"/>
      <c r="W5" s="141"/>
      <c r="X5" s="141"/>
      <c r="Y5" s="141"/>
      <c r="Z5" s="141"/>
    </row>
    <row r="6" spans="1:26" ht="13.8" x14ac:dyDescent="0.25">
      <c r="A6" s="144">
        <v>43101</v>
      </c>
      <c r="B6" s="145">
        <v>786.9</v>
      </c>
      <c r="C6" s="149">
        <f t="shared" si="0"/>
        <v>1.4700193423597741E-2</v>
      </c>
      <c r="D6" s="150" t="s">
        <v>29</v>
      </c>
      <c r="E6" s="155">
        <f>E5*SQRT(12)</f>
        <v>0.22960328147306269</v>
      </c>
      <c r="F6" s="141"/>
      <c r="G6" s="141"/>
      <c r="H6" s="141"/>
      <c r="I6" s="141"/>
      <c r="J6" s="141"/>
      <c r="K6" s="144">
        <v>43101</v>
      </c>
      <c r="L6" s="145">
        <v>11027.7</v>
      </c>
      <c r="M6" s="149">
        <f t="shared" si="1"/>
        <v>4.7195343139582402E-2</v>
      </c>
      <c r="N6" s="141"/>
      <c r="O6" s="141"/>
      <c r="P6" s="153"/>
      <c r="Q6" s="153"/>
      <c r="R6" s="141"/>
      <c r="S6" s="141"/>
      <c r="T6" s="141"/>
      <c r="U6" s="141"/>
      <c r="V6" s="141"/>
      <c r="W6" s="141"/>
      <c r="X6" s="141"/>
      <c r="Y6" s="141"/>
      <c r="Z6" s="141"/>
    </row>
    <row r="7" spans="1:26" ht="13.8" x14ac:dyDescent="0.25">
      <c r="A7" s="144">
        <v>43132</v>
      </c>
      <c r="B7" s="145">
        <v>794.8</v>
      </c>
      <c r="C7" s="149">
        <f t="shared" si="0"/>
        <v>1.003939509467533E-2</v>
      </c>
      <c r="D7" s="141"/>
      <c r="E7" s="141"/>
      <c r="F7" s="141"/>
      <c r="G7" s="141"/>
      <c r="H7" s="141"/>
      <c r="I7" s="141"/>
      <c r="J7" s="141"/>
      <c r="K7" s="144">
        <v>43132</v>
      </c>
      <c r="L7" s="145">
        <v>10492.85</v>
      </c>
      <c r="M7" s="149">
        <f t="shared" si="1"/>
        <v>-4.8500593958849092E-2</v>
      </c>
      <c r="N7" s="141"/>
      <c r="O7" s="141"/>
      <c r="P7" s="147" t="s">
        <v>30</v>
      </c>
      <c r="Q7" s="148">
        <f>CORREL(C4:C107,M4:M107)</f>
        <v>0.61339611982692432</v>
      </c>
      <c r="R7" s="141"/>
      <c r="S7" s="141"/>
      <c r="T7" s="141"/>
      <c r="U7" s="141"/>
      <c r="V7" s="141"/>
      <c r="W7" s="141"/>
      <c r="X7" s="141"/>
      <c r="Y7" s="141"/>
      <c r="Z7" s="141"/>
    </row>
    <row r="8" spans="1:26" ht="13.8" x14ac:dyDescent="0.25">
      <c r="A8" s="144">
        <v>43160</v>
      </c>
      <c r="B8" s="145">
        <v>793.85</v>
      </c>
      <c r="C8" s="149">
        <f t="shared" si="0"/>
        <v>-1.1952692501256967E-3</v>
      </c>
      <c r="D8" s="141"/>
      <c r="E8" s="141"/>
      <c r="F8" s="141"/>
      <c r="G8" s="141"/>
      <c r="H8" s="141"/>
      <c r="I8" s="141"/>
      <c r="J8" s="141"/>
      <c r="K8" s="144">
        <v>43160</v>
      </c>
      <c r="L8" s="145">
        <v>10113.700000000001</v>
      </c>
      <c r="M8" s="149">
        <f t="shared" si="1"/>
        <v>-3.6134129430993478E-2</v>
      </c>
      <c r="N8" s="141"/>
      <c r="O8" s="141"/>
      <c r="P8" s="147" t="s">
        <v>31</v>
      </c>
      <c r="Q8" s="156">
        <f>V1+Q4*(V2-V1)</f>
        <v>0.13505338358272051</v>
      </c>
      <c r="R8" s="141"/>
      <c r="S8" s="141"/>
      <c r="T8" s="141"/>
      <c r="U8" s="141"/>
      <c r="V8" s="141"/>
      <c r="W8" s="141"/>
      <c r="X8" s="141"/>
      <c r="Y8" s="141"/>
      <c r="Z8" s="141"/>
    </row>
    <row r="9" spans="1:26" ht="13.8" x14ac:dyDescent="0.25">
      <c r="A9" s="144">
        <v>43191</v>
      </c>
      <c r="B9" s="145">
        <v>759.9</v>
      </c>
      <c r="C9" s="149">
        <f t="shared" si="0"/>
        <v>-4.276626566731756E-2</v>
      </c>
      <c r="D9" s="141"/>
      <c r="E9" s="141"/>
      <c r="F9" s="141"/>
      <c r="G9" s="141"/>
      <c r="H9" s="141"/>
      <c r="I9" s="141"/>
      <c r="J9" s="141"/>
      <c r="K9" s="144">
        <v>43191</v>
      </c>
      <c r="L9" s="145">
        <v>10739.35</v>
      </c>
      <c r="M9" s="149">
        <f t="shared" si="1"/>
        <v>6.1861633230172908E-2</v>
      </c>
      <c r="N9" s="141"/>
      <c r="O9" s="141"/>
      <c r="P9" s="147" t="s">
        <v>32</v>
      </c>
      <c r="Q9" s="153">
        <f>(E4-V1)/E6</f>
        <v>0.32980107835485745</v>
      </c>
      <c r="R9" s="141"/>
      <c r="S9" s="141"/>
      <c r="T9" s="141"/>
      <c r="U9" s="141"/>
      <c r="V9" s="141"/>
      <c r="W9" s="141"/>
      <c r="X9" s="141"/>
      <c r="Y9" s="141"/>
      <c r="Z9" s="141"/>
    </row>
    <row r="10" spans="1:26" ht="13.8" x14ac:dyDescent="0.25">
      <c r="A10" s="157">
        <v>43221</v>
      </c>
      <c r="B10" s="145">
        <v>754.4</v>
      </c>
      <c r="C10" s="149">
        <f t="shared" si="0"/>
        <v>-7.2377944466377464E-3</v>
      </c>
      <c r="D10" s="141"/>
      <c r="E10" s="141"/>
      <c r="F10" s="141"/>
      <c r="G10" s="141"/>
      <c r="H10" s="141"/>
      <c r="I10" s="141"/>
      <c r="J10" s="141"/>
      <c r="K10" s="157">
        <v>43221</v>
      </c>
      <c r="L10" s="145">
        <v>10736.15</v>
      </c>
      <c r="M10" s="149">
        <f t="shared" si="1"/>
        <v>-2.9796961641070929E-4</v>
      </c>
      <c r="N10" s="141"/>
      <c r="O10" s="141"/>
      <c r="P10" s="147" t="s">
        <v>33</v>
      </c>
      <c r="Q10" s="153">
        <f>(E4-V1)/Q4</f>
        <v>9.0803459601729836E-2</v>
      </c>
      <c r="R10" s="141"/>
      <c r="S10" s="141"/>
      <c r="T10" s="141"/>
      <c r="U10" s="141"/>
      <c r="V10" s="141"/>
      <c r="W10" s="141"/>
      <c r="X10" s="141"/>
      <c r="Y10" s="141"/>
      <c r="Z10" s="141"/>
    </row>
    <row r="11" spans="1:26" ht="13.8" x14ac:dyDescent="0.25">
      <c r="A11" s="144">
        <v>43252</v>
      </c>
      <c r="B11" s="145">
        <v>696.75</v>
      </c>
      <c r="C11" s="149">
        <f t="shared" si="0"/>
        <v>-7.6418345705196122E-2</v>
      </c>
      <c r="D11" s="141"/>
      <c r="E11" s="141"/>
      <c r="F11" s="141"/>
      <c r="G11" s="141"/>
      <c r="H11" s="141"/>
      <c r="I11" s="141"/>
      <c r="J11" s="141"/>
      <c r="K11" s="144">
        <v>43252</v>
      </c>
      <c r="L11" s="145">
        <v>10714.3</v>
      </c>
      <c r="M11" s="149">
        <f t="shared" si="1"/>
        <v>-2.0351802089203508E-3</v>
      </c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 spans="1:26" ht="13.8" x14ac:dyDescent="0.25">
      <c r="A12" s="144">
        <v>43282</v>
      </c>
      <c r="B12" s="145">
        <v>777.7</v>
      </c>
      <c r="C12" s="149">
        <f t="shared" si="0"/>
        <v>0.11618227484750632</v>
      </c>
      <c r="D12" s="141"/>
      <c r="E12" s="141"/>
      <c r="F12" s="141"/>
      <c r="G12" s="141"/>
      <c r="H12" s="141"/>
      <c r="I12" s="141"/>
      <c r="J12" s="141"/>
      <c r="K12" s="144">
        <v>43282</v>
      </c>
      <c r="L12" s="145">
        <v>11356.5</v>
      </c>
      <c r="M12" s="149">
        <f t="shared" si="1"/>
        <v>5.9938586748551126E-2</v>
      </c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 spans="1:26" ht="13.8" x14ac:dyDescent="0.25">
      <c r="A13" s="144">
        <v>43313</v>
      </c>
      <c r="B13" s="145">
        <v>795.85</v>
      </c>
      <c r="C13" s="149">
        <f t="shared" si="0"/>
        <v>2.33380480905232E-2</v>
      </c>
      <c r="D13" s="141"/>
      <c r="E13" s="141"/>
      <c r="F13" s="141"/>
      <c r="G13" s="141"/>
      <c r="H13" s="141"/>
      <c r="I13" s="141"/>
      <c r="J13" s="141"/>
      <c r="K13" s="144">
        <v>43313</v>
      </c>
      <c r="L13" s="145">
        <v>11680.5</v>
      </c>
      <c r="M13" s="149">
        <f t="shared" si="1"/>
        <v>2.8529916787742637E-2</v>
      </c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</row>
    <row r="14" spans="1:26" ht="13.8" x14ac:dyDescent="0.25">
      <c r="A14" s="144">
        <v>43344</v>
      </c>
      <c r="B14" s="145">
        <v>808.35</v>
      </c>
      <c r="C14" s="149">
        <f t="shared" si="0"/>
        <v>1.5706477351259629E-2</v>
      </c>
      <c r="D14" s="141"/>
      <c r="E14" s="141"/>
      <c r="F14" s="141"/>
      <c r="G14" s="141"/>
      <c r="H14" s="141"/>
      <c r="I14" s="141"/>
      <c r="J14" s="141"/>
      <c r="K14" s="144">
        <v>43344</v>
      </c>
      <c r="L14" s="145">
        <v>10930.45</v>
      </c>
      <c r="M14" s="149">
        <f t="shared" si="1"/>
        <v>-6.42138607080176E-2</v>
      </c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</row>
    <row r="15" spans="1:26" ht="13.8" x14ac:dyDescent="0.25">
      <c r="A15" s="144">
        <v>43374</v>
      </c>
      <c r="B15" s="145">
        <v>805.45</v>
      </c>
      <c r="C15" s="149">
        <f t="shared" si="0"/>
        <v>-3.5875548957753356E-3</v>
      </c>
      <c r="D15" s="141"/>
      <c r="E15" s="141"/>
      <c r="F15" s="141"/>
      <c r="G15" s="141"/>
      <c r="H15" s="141"/>
      <c r="I15" s="141"/>
      <c r="J15" s="141"/>
      <c r="K15" s="144">
        <v>43374</v>
      </c>
      <c r="L15" s="145">
        <v>10386.6</v>
      </c>
      <c r="M15" s="149">
        <f t="shared" si="1"/>
        <v>-4.975549954484948E-2</v>
      </c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</row>
    <row r="16" spans="1:26" ht="13.8" x14ac:dyDescent="0.25">
      <c r="A16" s="144">
        <v>43405</v>
      </c>
      <c r="B16" s="145">
        <v>833.8</v>
      </c>
      <c r="C16" s="149">
        <f t="shared" si="0"/>
        <v>3.5197715562728771E-2</v>
      </c>
      <c r="D16" s="141"/>
      <c r="E16" s="141"/>
      <c r="F16" s="141"/>
      <c r="G16" s="141"/>
      <c r="H16" s="141"/>
      <c r="I16" s="141"/>
      <c r="J16" s="141"/>
      <c r="K16" s="144">
        <v>43405</v>
      </c>
      <c r="L16" s="145">
        <v>10876.75</v>
      </c>
      <c r="M16" s="149">
        <f t="shared" si="1"/>
        <v>4.7190610979531256E-2</v>
      </c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</row>
    <row r="17" spans="1:26" ht="13.8" x14ac:dyDescent="0.25">
      <c r="A17" s="144">
        <v>43435</v>
      </c>
      <c r="B17" s="145">
        <v>864.45</v>
      </c>
      <c r="C17" s="149">
        <f t="shared" si="0"/>
        <v>3.6759414727752571E-2</v>
      </c>
      <c r="D17" s="141"/>
      <c r="E17" s="141"/>
      <c r="F17" s="141"/>
      <c r="G17" s="141"/>
      <c r="H17" s="141"/>
      <c r="I17" s="141"/>
      <c r="J17" s="141"/>
      <c r="K17" s="144">
        <v>43435</v>
      </c>
      <c r="L17" s="145">
        <v>10862.55</v>
      </c>
      <c r="M17" s="149">
        <f t="shared" si="1"/>
        <v>-1.3055370400165689E-3</v>
      </c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</row>
    <row r="18" spans="1:26" ht="13.8" x14ac:dyDescent="0.25">
      <c r="A18" s="144">
        <v>43466</v>
      </c>
      <c r="B18" s="145">
        <v>880.25</v>
      </c>
      <c r="C18" s="149">
        <f t="shared" si="0"/>
        <v>1.8277517496674056E-2</v>
      </c>
      <c r="D18" s="141"/>
      <c r="E18" s="141"/>
      <c r="F18" s="141"/>
      <c r="G18" s="141"/>
      <c r="H18" s="141"/>
      <c r="I18" s="141"/>
      <c r="J18" s="141"/>
      <c r="K18" s="144">
        <v>43466</v>
      </c>
      <c r="L18" s="145">
        <v>10830.95</v>
      </c>
      <c r="M18" s="149">
        <f t="shared" si="1"/>
        <v>-2.909077518630343E-3</v>
      </c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</row>
    <row r="19" spans="1:26" ht="13.8" x14ac:dyDescent="0.25">
      <c r="A19" s="144">
        <v>43497</v>
      </c>
      <c r="B19" s="145">
        <v>931.15</v>
      </c>
      <c r="C19" s="149">
        <f t="shared" si="0"/>
        <v>5.7824481681340467E-2</v>
      </c>
      <c r="D19" s="141"/>
      <c r="E19" s="141"/>
      <c r="F19" s="141"/>
      <c r="G19" s="141"/>
      <c r="H19" s="141"/>
      <c r="I19" s="141"/>
      <c r="J19" s="141"/>
      <c r="K19" s="144">
        <v>43497</v>
      </c>
      <c r="L19" s="145">
        <v>10792.5</v>
      </c>
      <c r="M19" s="149">
        <f t="shared" si="1"/>
        <v>-3.5500117718206825E-3</v>
      </c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spans="1:26" ht="13.8" x14ac:dyDescent="0.25">
      <c r="A20" s="144">
        <v>43525</v>
      </c>
      <c r="B20" s="145">
        <v>1033.3</v>
      </c>
      <c r="C20" s="149">
        <f t="shared" si="0"/>
        <v>0.10970305536164959</v>
      </c>
      <c r="D20" s="141"/>
      <c r="E20" s="141"/>
      <c r="F20" s="141"/>
      <c r="G20" s="141"/>
      <c r="H20" s="141"/>
      <c r="I20" s="141"/>
      <c r="J20" s="141"/>
      <c r="K20" s="144">
        <v>43525</v>
      </c>
      <c r="L20" s="145">
        <v>11623.9</v>
      </c>
      <c r="M20" s="149">
        <f t="shared" si="1"/>
        <v>7.7034977993977183E-2</v>
      </c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 spans="1:26" ht="13.8" x14ac:dyDescent="0.25">
      <c r="A21" s="144">
        <v>43556</v>
      </c>
      <c r="B21" s="145">
        <v>1093.3499999999999</v>
      </c>
      <c r="C21" s="149">
        <f t="shared" si="0"/>
        <v>5.8114777896061121E-2</v>
      </c>
      <c r="D21" s="141"/>
      <c r="E21" s="141"/>
      <c r="F21" s="141"/>
      <c r="G21" s="141"/>
      <c r="H21" s="141"/>
      <c r="I21" s="141"/>
      <c r="J21" s="141"/>
      <c r="K21" s="144">
        <v>43556</v>
      </c>
      <c r="L21" s="145">
        <v>11748.15</v>
      </c>
      <c r="M21" s="149">
        <f t="shared" si="1"/>
        <v>1.0689183492631482E-2</v>
      </c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 spans="1:26" ht="13.8" x14ac:dyDescent="0.25">
      <c r="A22" s="157">
        <v>43586</v>
      </c>
      <c r="B22" s="145">
        <v>1176.5</v>
      </c>
      <c r="C22" s="149">
        <f t="shared" si="0"/>
        <v>7.6050669959299544E-2</v>
      </c>
      <c r="D22" s="141"/>
      <c r="E22" s="141"/>
      <c r="F22" s="141"/>
      <c r="G22" s="141"/>
      <c r="H22" s="141"/>
      <c r="I22" s="141"/>
      <c r="J22" s="141"/>
      <c r="K22" s="157">
        <v>43586</v>
      </c>
      <c r="L22" s="145">
        <v>11922.8</v>
      </c>
      <c r="M22" s="149">
        <f t="shared" si="1"/>
        <v>1.4866170418321056E-2</v>
      </c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 spans="1:26" ht="13.8" x14ac:dyDescent="0.25">
      <c r="A23" s="144">
        <v>43617</v>
      </c>
      <c r="B23" s="145">
        <v>1112.55</v>
      </c>
      <c r="C23" s="149">
        <f t="shared" si="0"/>
        <v>-5.4356141096472577E-2</v>
      </c>
      <c r="D23" s="141"/>
      <c r="E23" s="141"/>
      <c r="F23" s="141"/>
      <c r="G23" s="141"/>
      <c r="H23" s="141"/>
      <c r="I23" s="141"/>
      <c r="J23" s="141"/>
      <c r="K23" s="144">
        <v>43617</v>
      </c>
      <c r="L23" s="145">
        <v>11788.85</v>
      </c>
      <c r="M23" s="149">
        <f t="shared" si="1"/>
        <v>-1.1234777065789792E-2</v>
      </c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 spans="1:26" ht="13.8" x14ac:dyDescent="0.25">
      <c r="A24" s="144">
        <v>43647</v>
      </c>
      <c r="B24" s="145">
        <v>1207.3499999999999</v>
      </c>
      <c r="C24" s="149">
        <f t="shared" si="0"/>
        <v>8.5209653498719229E-2</v>
      </c>
      <c r="D24" s="141"/>
      <c r="E24" s="141"/>
      <c r="F24" s="141"/>
      <c r="G24" s="141"/>
      <c r="H24" s="141"/>
      <c r="I24" s="141"/>
      <c r="J24" s="141"/>
      <c r="K24" s="144">
        <v>43647</v>
      </c>
      <c r="L24" s="145">
        <v>11118</v>
      </c>
      <c r="M24" s="149">
        <f t="shared" si="1"/>
        <v>-5.6905465757898344E-2</v>
      </c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 spans="1:26" ht="13.8" x14ac:dyDescent="0.25">
      <c r="A25" s="144">
        <v>43678</v>
      </c>
      <c r="B25" s="145">
        <v>1257.8</v>
      </c>
      <c r="C25" s="149">
        <f t="shared" si="0"/>
        <v>4.1785729076075695E-2</v>
      </c>
      <c r="D25" s="141"/>
      <c r="E25" s="141"/>
      <c r="F25" s="141"/>
      <c r="G25" s="141"/>
      <c r="H25" s="141"/>
      <c r="I25" s="141"/>
      <c r="J25" s="141"/>
      <c r="K25" s="144">
        <v>43678</v>
      </c>
      <c r="L25" s="145">
        <v>11023.25</v>
      </c>
      <c r="M25" s="149">
        <f t="shared" si="1"/>
        <v>-8.5222162259399603E-3</v>
      </c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 spans="1:26" ht="13.8" x14ac:dyDescent="0.25">
      <c r="A26" s="144">
        <v>43709</v>
      </c>
      <c r="B26" s="145">
        <v>1209.8499999999999</v>
      </c>
      <c r="C26" s="149">
        <f t="shared" si="0"/>
        <v>-3.812211798378129E-2</v>
      </c>
      <c r="D26" s="141"/>
      <c r="E26" s="141"/>
      <c r="F26" s="141"/>
      <c r="G26" s="141"/>
      <c r="H26" s="141"/>
      <c r="I26" s="141"/>
      <c r="J26" s="141"/>
      <c r="K26" s="144">
        <v>43709</v>
      </c>
      <c r="L26" s="145">
        <v>11474.45</v>
      </c>
      <c r="M26" s="149">
        <f t="shared" si="1"/>
        <v>4.0931667158052409E-2</v>
      </c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 spans="1:26" ht="13.8" x14ac:dyDescent="0.25">
      <c r="A27" s="144">
        <v>43739</v>
      </c>
      <c r="B27" s="145">
        <v>1342.8</v>
      </c>
      <c r="C27" s="149">
        <f t="shared" si="0"/>
        <v>0.10988965574244736</v>
      </c>
      <c r="D27" s="141"/>
      <c r="E27" s="141"/>
      <c r="F27" s="141"/>
      <c r="G27" s="141"/>
      <c r="H27" s="141"/>
      <c r="I27" s="141"/>
      <c r="J27" s="141"/>
      <c r="K27" s="144">
        <v>43739</v>
      </c>
      <c r="L27" s="145">
        <v>11877.45</v>
      </c>
      <c r="M27" s="149">
        <f t="shared" si="1"/>
        <v>3.5121509091939007E-2</v>
      </c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 spans="1:26" ht="13.8" x14ac:dyDescent="0.25">
      <c r="A28" s="144">
        <v>43770</v>
      </c>
      <c r="B28" s="145">
        <v>1362.9</v>
      </c>
      <c r="C28" s="149">
        <f t="shared" si="0"/>
        <v>1.4968722073279705E-2</v>
      </c>
      <c r="D28" s="141"/>
      <c r="E28" s="141"/>
      <c r="F28" s="141"/>
      <c r="G28" s="141"/>
      <c r="H28" s="141"/>
      <c r="I28" s="141"/>
      <c r="J28" s="141"/>
      <c r="K28" s="144">
        <v>43770</v>
      </c>
      <c r="L28" s="145">
        <v>12056.05</v>
      </c>
      <c r="M28" s="149">
        <f t="shared" si="1"/>
        <v>1.5036897650589909E-2</v>
      </c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</row>
    <row r="29" spans="1:26" ht="13.8" x14ac:dyDescent="0.25">
      <c r="A29" s="144">
        <v>43800</v>
      </c>
      <c r="B29" s="145">
        <v>1386.8</v>
      </c>
      <c r="C29" s="149">
        <f t="shared" si="0"/>
        <v>1.7536136180203776E-2</v>
      </c>
      <c r="D29" s="141"/>
      <c r="E29" s="141"/>
      <c r="F29" s="141"/>
      <c r="G29" s="141"/>
      <c r="H29" s="141"/>
      <c r="I29" s="141"/>
      <c r="J29" s="141"/>
      <c r="K29" s="144">
        <v>43800</v>
      </c>
      <c r="L29" s="145">
        <v>12168.45</v>
      </c>
      <c r="M29" s="149">
        <f t="shared" si="1"/>
        <v>9.3231199273395848E-3</v>
      </c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</row>
    <row r="30" spans="1:26" ht="13.8" x14ac:dyDescent="0.25">
      <c r="A30" s="144">
        <v>43831</v>
      </c>
      <c r="B30" s="145">
        <v>1318.4</v>
      </c>
      <c r="C30" s="149">
        <f t="shared" si="0"/>
        <v>-4.9322180559561501E-2</v>
      </c>
      <c r="D30" s="141"/>
      <c r="E30" s="141"/>
      <c r="F30" s="141"/>
      <c r="G30" s="141"/>
      <c r="H30" s="141"/>
      <c r="I30" s="141"/>
      <c r="J30" s="141"/>
      <c r="K30" s="144">
        <v>43831</v>
      </c>
      <c r="L30" s="145">
        <v>11962.1</v>
      </c>
      <c r="M30" s="149">
        <f t="shared" si="1"/>
        <v>-1.6957788378963667E-2</v>
      </c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</row>
    <row r="31" spans="1:26" ht="13.8" x14ac:dyDescent="0.25">
      <c r="A31" s="144">
        <v>43862</v>
      </c>
      <c r="B31" s="145">
        <v>1236.6500000000001</v>
      </c>
      <c r="C31" s="149">
        <f t="shared" si="0"/>
        <v>-6.2006978155339842E-2</v>
      </c>
      <c r="D31" s="141"/>
      <c r="E31" s="141"/>
      <c r="F31" s="141"/>
      <c r="G31" s="141"/>
      <c r="H31" s="141"/>
      <c r="I31" s="141"/>
      <c r="J31" s="141"/>
      <c r="K31" s="144">
        <v>43862</v>
      </c>
      <c r="L31" s="145">
        <v>11201.75</v>
      </c>
      <c r="M31" s="149">
        <f t="shared" si="1"/>
        <v>-6.3563253943705544E-2</v>
      </c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</row>
    <row r="32" spans="1:26" ht="13.8" x14ac:dyDescent="0.25">
      <c r="A32" s="144">
        <v>43891</v>
      </c>
      <c r="B32" s="145">
        <v>1081.6500000000001</v>
      </c>
      <c r="C32" s="149">
        <f t="shared" si="0"/>
        <v>-0.12533861642340194</v>
      </c>
      <c r="D32" s="141"/>
      <c r="E32" s="141"/>
      <c r="F32" s="141"/>
      <c r="G32" s="141"/>
      <c r="H32" s="141"/>
      <c r="I32" s="141"/>
      <c r="J32" s="141"/>
      <c r="K32" s="144">
        <v>43891</v>
      </c>
      <c r="L32" s="145">
        <v>8597.75</v>
      </c>
      <c r="M32" s="149">
        <f t="shared" si="1"/>
        <v>-0.23246367755038277</v>
      </c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</row>
    <row r="33" spans="1:26" ht="13.8" x14ac:dyDescent="0.25">
      <c r="A33" s="144">
        <v>43922</v>
      </c>
      <c r="B33" s="145">
        <v>1290.5999999999999</v>
      </c>
      <c r="C33" s="149">
        <f t="shared" si="0"/>
        <v>0.19317709055609478</v>
      </c>
      <c r="D33" s="141"/>
      <c r="E33" s="141"/>
      <c r="F33" s="141"/>
      <c r="G33" s="141"/>
      <c r="H33" s="141"/>
      <c r="I33" s="141"/>
      <c r="J33" s="141"/>
      <c r="K33" s="144">
        <v>43922</v>
      </c>
      <c r="L33" s="145">
        <v>9859.9</v>
      </c>
      <c r="M33" s="149">
        <f t="shared" si="1"/>
        <v>0.14680003489284976</v>
      </c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</row>
    <row r="34" spans="1:26" ht="13.8" x14ac:dyDescent="0.25">
      <c r="A34" s="157">
        <v>43952</v>
      </c>
      <c r="B34" s="145">
        <v>1300.7</v>
      </c>
      <c r="C34" s="149">
        <f t="shared" si="0"/>
        <v>7.8258174492484844E-3</v>
      </c>
      <c r="D34" s="141"/>
      <c r="E34" s="141"/>
      <c r="F34" s="141"/>
      <c r="G34" s="141"/>
      <c r="H34" s="141"/>
      <c r="I34" s="141"/>
      <c r="J34" s="141"/>
      <c r="K34" s="157">
        <v>43952</v>
      </c>
      <c r="L34" s="145">
        <v>9580.2999999999993</v>
      </c>
      <c r="M34" s="149">
        <f t="shared" si="1"/>
        <v>-2.8357285570847601E-2</v>
      </c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</row>
    <row r="35" spans="1:26" ht="13.8" x14ac:dyDescent="0.25">
      <c r="A35" s="144">
        <v>43983</v>
      </c>
      <c r="B35" s="145">
        <v>1266.5999999999999</v>
      </c>
      <c r="C35" s="149">
        <f t="shared" ref="C35:C66" si="2">B35/B34-1</f>
        <v>-2.6216652571692256E-2</v>
      </c>
      <c r="D35" s="141"/>
      <c r="E35" s="141"/>
      <c r="F35" s="141"/>
      <c r="G35" s="141"/>
      <c r="H35" s="141"/>
      <c r="I35" s="141"/>
      <c r="J35" s="141"/>
      <c r="K35" s="144">
        <v>43983</v>
      </c>
      <c r="L35" s="145">
        <v>10302.1</v>
      </c>
      <c r="M35" s="149">
        <f t="shared" ref="M35:M66" si="3">L35/L34-1</f>
        <v>7.5342108284709441E-2</v>
      </c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</row>
    <row r="36" spans="1:26" ht="13.8" x14ac:dyDescent="0.25">
      <c r="A36" s="144">
        <v>44013</v>
      </c>
      <c r="B36" s="145">
        <v>1303.5999999999999</v>
      </c>
      <c r="C36" s="149">
        <f t="shared" si="2"/>
        <v>2.9212063792831255E-2</v>
      </c>
      <c r="D36" s="141"/>
      <c r="E36" s="141"/>
      <c r="F36" s="141"/>
      <c r="G36" s="141"/>
      <c r="H36" s="141"/>
      <c r="I36" s="141"/>
      <c r="J36" s="141"/>
      <c r="K36" s="144">
        <v>44013</v>
      </c>
      <c r="L36" s="145">
        <v>11073.45</v>
      </c>
      <c r="M36" s="149">
        <f t="shared" si="3"/>
        <v>7.4873084128478595E-2</v>
      </c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</row>
    <row r="37" spans="1:26" ht="13.8" x14ac:dyDescent="0.25">
      <c r="A37" s="144">
        <v>44044</v>
      </c>
      <c r="B37" s="145">
        <v>1256.7</v>
      </c>
      <c r="C37" s="149">
        <f t="shared" si="2"/>
        <v>-3.5977293648358333E-2</v>
      </c>
      <c r="D37" s="141"/>
      <c r="E37" s="141"/>
      <c r="F37" s="141"/>
      <c r="G37" s="141"/>
      <c r="H37" s="141"/>
      <c r="I37" s="141"/>
      <c r="J37" s="141"/>
      <c r="K37" s="144">
        <v>44044</v>
      </c>
      <c r="L37" s="145">
        <v>11387.5</v>
      </c>
      <c r="M37" s="149">
        <f t="shared" si="3"/>
        <v>2.8360628349791472E-2</v>
      </c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</row>
    <row r="38" spans="1:26" ht="13.8" x14ac:dyDescent="0.25">
      <c r="A38" s="144">
        <v>44075</v>
      </c>
      <c r="B38" s="145">
        <v>1299.5</v>
      </c>
      <c r="C38" s="149">
        <f t="shared" si="2"/>
        <v>3.4057452056974524E-2</v>
      </c>
      <c r="D38" s="141"/>
      <c r="E38" s="141"/>
      <c r="F38" s="141"/>
      <c r="G38" s="141"/>
      <c r="H38" s="141"/>
      <c r="I38" s="141"/>
      <c r="J38" s="141"/>
      <c r="K38" s="144">
        <v>44075</v>
      </c>
      <c r="L38" s="145">
        <v>11247.55</v>
      </c>
      <c r="M38" s="149">
        <f t="shared" si="3"/>
        <v>-1.2289791437980258E-2</v>
      </c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</row>
    <row r="39" spans="1:26" ht="13.8" x14ac:dyDescent="0.25">
      <c r="A39" s="144">
        <v>44105</v>
      </c>
      <c r="B39" s="145">
        <v>1236</v>
      </c>
      <c r="C39" s="149">
        <f t="shared" si="2"/>
        <v>-4.8864948056944968E-2</v>
      </c>
      <c r="D39" s="141"/>
      <c r="E39" s="141"/>
      <c r="F39" s="141"/>
      <c r="G39" s="141"/>
      <c r="H39" s="141"/>
      <c r="I39" s="141"/>
      <c r="J39" s="141"/>
      <c r="K39" s="144">
        <v>44105</v>
      </c>
      <c r="L39" s="145">
        <v>11642.4</v>
      </c>
      <c r="M39" s="149">
        <f t="shared" si="3"/>
        <v>3.5105422958777721E-2</v>
      </c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 spans="1:26" ht="13.8" x14ac:dyDescent="0.25">
      <c r="A40" s="144">
        <v>44136</v>
      </c>
      <c r="B40" s="145">
        <v>1451.4</v>
      </c>
      <c r="C40" s="149">
        <f t="shared" si="2"/>
        <v>0.1742718446601943</v>
      </c>
      <c r="D40" s="141"/>
      <c r="E40" s="141"/>
      <c r="F40" s="141"/>
      <c r="G40" s="141"/>
      <c r="H40" s="141"/>
      <c r="I40" s="141"/>
      <c r="J40" s="141"/>
      <c r="K40" s="144">
        <v>44136</v>
      </c>
      <c r="L40" s="145">
        <v>12968.95</v>
      </c>
      <c r="M40" s="149">
        <f t="shared" si="3"/>
        <v>0.11394128358414091</v>
      </c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 spans="1:26" ht="13.8" x14ac:dyDescent="0.25">
      <c r="A41" s="144">
        <v>44166</v>
      </c>
      <c r="B41" s="145">
        <v>1520.85</v>
      </c>
      <c r="C41" s="149">
        <f t="shared" si="2"/>
        <v>4.7850351384869594E-2</v>
      </c>
      <c r="D41" s="141"/>
      <c r="E41" s="141"/>
      <c r="F41" s="141"/>
      <c r="G41" s="141"/>
      <c r="H41" s="141"/>
      <c r="I41" s="141"/>
      <c r="J41" s="141"/>
      <c r="K41" s="144">
        <v>44166</v>
      </c>
      <c r="L41" s="145">
        <v>13981.75</v>
      </c>
      <c r="M41" s="149">
        <f t="shared" si="3"/>
        <v>7.8094217342190353E-2</v>
      </c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 spans="1:26" ht="13.8" x14ac:dyDescent="0.25">
      <c r="A42" s="144">
        <v>44197</v>
      </c>
      <c r="B42" s="145">
        <v>1315.5</v>
      </c>
      <c r="C42" s="149">
        <f t="shared" si="2"/>
        <v>-0.13502317782818818</v>
      </c>
      <c r="D42" s="141"/>
      <c r="E42" s="141"/>
      <c r="F42" s="141"/>
      <c r="G42" s="141"/>
      <c r="H42" s="141"/>
      <c r="I42" s="141"/>
      <c r="J42" s="141"/>
      <c r="K42" s="144">
        <v>44197</v>
      </c>
      <c r="L42" s="145">
        <v>13634.6</v>
      </c>
      <c r="M42" s="149">
        <f t="shared" si="3"/>
        <v>-2.4828794678777633E-2</v>
      </c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</row>
    <row r="43" spans="1:26" ht="13.8" x14ac:dyDescent="0.25">
      <c r="A43" s="144">
        <v>44228</v>
      </c>
      <c r="B43" s="145">
        <v>1426</v>
      </c>
      <c r="C43" s="149">
        <f t="shared" si="2"/>
        <v>8.3998479665526427E-2</v>
      </c>
      <c r="D43" s="141"/>
      <c r="E43" s="141"/>
      <c r="F43" s="141"/>
      <c r="G43" s="141"/>
      <c r="H43" s="141"/>
      <c r="I43" s="141"/>
      <c r="J43" s="141"/>
      <c r="K43" s="144">
        <v>44228</v>
      </c>
      <c r="L43" s="145">
        <v>14529.15</v>
      </c>
      <c r="M43" s="149">
        <f t="shared" si="3"/>
        <v>6.5608818740557018E-2</v>
      </c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 spans="1:26" ht="13.8" x14ac:dyDescent="0.25">
      <c r="A44" s="144">
        <v>44256</v>
      </c>
      <c r="B44" s="145">
        <v>1433.2</v>
      </c>
      <c r="C44" s="149">
        <f t="shared" si="2"/>
        <v>5.0490883590463831E-3</v>
      </c>
      <c r="D44" s="141"/>
      <c r="E44" s="141"/>
      <c r="F44" s="141"/>
      <c r="G44" s="141"/>
      <c r="H44" s="141"/>
      <c r="I44" s="141"/>
      <c r="J44" s="141"/>
      <c r="K44" s="144">
        <v>44256</v>
      </c>
      <c r="L44" s="145">
        <v>14690.7</v>
      </c>
      <c r="M44" s="149">
        <f t="shared" si="3"/>
        <v>1.111902623346861E-2</v>
      </c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 spans="1:26" ht="13.8" x14ac:dyDescent="0.25">
      <c r="A45" s="144">
        <v>44287</v>
      </c>
      <c r="B45" s="145">
        <v>1414</v>
      </c>
      <c r="C45" s="149">
        <f t="shared" si="2"/>
        <v>-1.3396595032096004E-2</v>
      </c>
      <c r="D45" s="141"/>
      <c r="E45" s="141"/>
      <c r="F45" s="141"/>
      <c r="G45" s="141"/>
      <c r="H45" s="141"/>
      <c r="I45" s="141"/>
      <c r="J45" s="141"/>
      <c r="K45" s="144">
        <v>44287</v>
      </c>
      <c r="L45" s="145">
        <v>14631.1</v>
      </c>
      <c r="M45" s="149">
        <f t="shared" si="3"/>
        <v>-4.0569884348601315E-3</v>
      </c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</row>
    <row r="46" spans="1:26" ht="13.8" x14ac:dyDescent="0.25">
      <c r="A46" s="157">
        <v>44317</v>
      </c>
      <c r="B46" s="145">
        <v>1471.9</v>
      </c>
      <c r="C46" s="149">
        <f t="shared" si="2"/>
        <v>4.0947666195191079E-2</v>
      </c>
      <c r="D46" s="141"/>
      <c r="E46" s="141"/>
      <c r="F46" s="141"/>
      <c r="G46" s="141"/>
      <c r="H46" s="141"/>
      <c r="I46" s="141"/>
      <c r="J46" s="141"/>
      <c r="K46" s="157">
        <v>44317</v>
      </c>
      <c r="L46" s="145">
        <v>15582.8</v>
      </c>
      <c r="M46" s="149">
        <f t="shared" si="3"/>
        <v>6.5046373820150105E-2</v>
      </c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</row>
    <row r="47" spans="1:26" ht="13.8" x14ac:dyDescent="0.25">
      <c r="A47" s="144">
        <v>44348</v>
      </c>
      <c r="B47" s="145">
        <v>1567</v>
      </c>
      <c r="C47" s="149">
        <f t="shared" si="2"/>
        <v>6.4610367552143444E-2</v>
      </c>
      <c r="D47" s="141"/>
      <c r="E47" s="141"/>
      <c r="F47" s="141"/>
      <c r="G47" s="141"/>
      <c r="H47" s="141"/>
      <c r="I47" s="141"/>
      <c r="J47" s="141"/>
      <c r="K47" s="144">
        <v>44348</v>
      </c>
      <c r="L47" s="145">
        <v>15721.5</v>
      </c>
      <c r="M47" s="149">
        <f t="shared" si="3"/>
        <v>8.9008393870164682E-3</v>
      </c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</row>
    <row r="48" spans="1:26" ht="13.8" x14ac:dyDescent="0.25">
      <c r="A48" s="144">
        <v>44378</v>
      </c>
      <c r="B48" s="145">
        <v>1475.75</v>
      </c>
      <c r="C48" s="149">
        <f t="shared" si="2"/>
        <v>-5.8232291001914516E-2</v>
      </c>
      <c r="D48" s="141"/>
      <c r="E48" s="141"/>
      <c r="F48" s="141"/>
      <c r="G48" s="141"/>
      <c r="H48" s="141"/>
      <c r="I48" s="141"/>
      <c r="J48" s="141"/>
      <c r="K48" s="144">
        <v>44378</v>
      </c>
      <c r="L48" s="145">
        <v>15763.05</v>
      </c>
      <c r="M48" s="149">
        <f t="shared" si="3"/>
        <v>2.6428775880162902E-3</v>
      </c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</row>
    <row r="49" spans="1:26" ht="13.8" x14ac:dyDescent="0.25">
      <c r="A49" s="144">
        <v>44409</v>
      </c>
      <c r="B49" s="145">
        <v>1594.6</v>
      </c>
      <c r="C49" s="149">
        <f t="shared" si="2"/>
        <v>8.0535321023208484E-2</v>
      </c>
      <c r="D49" s="141"/>
      <c r="E49" s="141"/>
      <c r="F49" s="141"/>
      <c r="G49" s="141"/>
      <c r="H49" s="141"/>
      <c r="I49" s="141"/>
      <c r="J49" s="141"/>
      <c r="K49" s="144">
        <v>44409</v>
      </c>
      <c r="L49" s="145">
        <v>17132.2</v>
      </c>
      <c r="M49" s="149">
        <f t="shared" si="3"/>
        <v>8.6858190515160638E-2</v>
      </c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 spans="1:26" ht="13.8" x14ac:dyDescent="0.25">
      <c r="A50" s="144">
        <v>44440</v>
      </c>
      <c r="B50" s="145">
        <v>1589.5</v>
      </c>
      <c r="C50" s="149">
        <f t="shared" si="2"/>
        <v>-3.1982942430702765E-3</v>
      </c>
      <c r="D50" s="141"/>
      <c r="E50" s="141"/>
      <c r="F50" s="141"/>
      <c r="G50" s="141"/>
      <c r="H50" s="141"/>
      <c r="I50" s="141"/>
      <c r="J50" s="141"/>
      <c r="K50" s="144">
        <v>44440</v>
      </c>
      <c r="L50" s="145">
        <v>17618.150000000001</v>
      </c>
      <c r="M50" s="149">
        <f t="shared" si="3"/>
        <v>2.8364716732235173E-2</v>
      </c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</row>
    <row r="51" spans="1:26" ht="13.8" x14ac:dyDescent="0.25">
      <c r="A51" s="144">
        <v>44470</v>
      </c>
      <c r="B51" s="145">
        <v>1481.55</v>
      </c>
      <c r="C51" s="149">
        <f t="shared" si="2"/>
        <v>-6.7914438502673868E-2</v>
      </c>
      <c r="D51" s="141"/>
      <c r="E51" s="141"/>
      <c r="F51" s="141"/>
      <c r="G51" s="141"/>
      <c r="H51" s="141"/>
      <c r="I51" s="141"/>
      <c r="J51" s="141"/>
      <c r="K51" s="144">
        <v>44470</v>
      </c>
      <c r="L51" s="145">
        <v>17671.650000000001</v>
      </c>
      <c r="M51" s="149">
        <f t="shared" si="3"/>
        <v>3.0366411910445201E-3</v>
      </c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</row>
    <row r="52" spans="1:26" ht="13.8" x14ac:dyDescent="0.25">
      <c r="A52" s="144">
        <v>44501</v>
      </c>
      <c r="B52" s="145">
        <v>1437.35</v>
      </c>
      <c r="C52" s="149">
        <f t="shared" si="2"/>
        <v>-2.9833620195065969E-2</v>
      </c>
      <c r="D52" s="141"/>
      <c r="E52" s="141"/>
      <c r="F52" s="141"/>
      <c r="G52" s="141"/>
      <c r="H52" s="141"/>
      <c r="I52" s="141"/>
      <c r="J52" s="141"/>
      <c r="K52" s="144">
        <v>44501</v>
      </c>
      <c r="L52" s="145">
        <v>16983.2</v>
      </c>
      <c r="M52" s="149">
        <f t="shared" si="3"/>
        <v>-3.8957878862471818E-2</v>
      </c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</row>
    <row r="53" spans="1:26" ht="13.8" x14ac:dyDescent="0.25">
      <c r="A53" s="144">
        <v>44531</v>
      </c>
      <c r="B53" s="145">
        <v>1401.25</v>
      </c>
      <c r="C53" s="149">
        <f t="shared" si="2"/>
        <v>-2.5115664243225311E-2</v>
      </c>
      <c r="D53" s="141"/>
      <c r="E53" s="141"/>
      <c r="F53" s="141"/>
      <c r="G53" s="141"/>
      <c r="H53" s="141"/>
      <c r="I53" s="141"/>
      <c r="J53" s="141"/>
      <c r="K53" s="144">
        <v>44531</v>
      </c>
      <c r="L53" s="145">
        <v>17354.05</v>
      </c>
      <c r="M53" s="149">
        <f t="shared" si="3"/>
        <v>2.1836285270149247E-2</v>
      </c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</row>
    <row r="54" spans="1:26" ht="13.8" x14ac:dyDescent="0.25">
      <c r="A54" s="144">
        <v>44562</v>
      </c>
      <c r="B54" s="145">
        <v>1369.1</v>
      </c>
      <c r="C54" s="149">
        <f t="shared" si="2"/>
        <v>-2.2943800178412244E-2</v>
      </c>
      <c r="D54" s="141"/>
      <c r="E54" s="141"/>
      <c r="F54" s="141"/>
      <c r="G54" s="141"/>
      <c r="H54" s="141"/>
      <c r="I54" s="141"/>
      <c r="J54" s="141"/>
      <c r="K54" s="144">
        <v>44562</v>
      </c>
      <c r="L54" s="145">
        <v>17339.849999999999</v>
      </c>
      <c r="M54" s="149">
        <f t="shared" si="3"/>
        <v>-8.1825279977876253E-4</v>
      </c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 spans="1:26" ht="13.8" x14ac:dyDescent="0.25">
      <c r="A55" s="144">
        <v>44593</v>
      </c>
      <c r="B55" s="145">
        <v>1263.8</v>
      </c>
      <c r="C55" s="149">
        <f t="shared" si="2"/>
        <v>-7.6911839894821421E-2</v>
      </c>
      <c r="D55" s="141"/>
      <c r="E55" s="141"/>
      <c r="F55" s="141"/>
      <c r="G55" s="141"/>
      <c r="H55" s="141"/>
      <c r="I55" s="141"/>
      <c r="J55" s="141"/>
      <c r="K55" s="144">
        <v>44593</v>
      </c>
      <c r="L55" s="145">
        <v>16793.900000000001</v>
      </c>
      <c r="M55" s="149">
        <f t="shared" si="3"/>
        <v>-3.1485278131010208E-2</v>
      </c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 spans="1:26" ht="13.8" x14ac:dyDescent="0.25">
      <c r="A56" s="144">
        <v>44621</v>
      </c>
      <c r="B56" s="145">
        <v>1328.3</v>
      </c>
      <c r="C56" s="149">
        <f t="shared" si="2"/>
        <v>5.1036556417154655E-2</v>
      </c>
      <c r="D56" s="141"/>
      <c r="E56" s="141"/>
      <c r="F56" s="141"/>
      <c r="G56" s="141"/>
      <c r="H56" s="141"/>
      <c r="I56" s="141"/>
      <c r="J56" s="141"/>
      <c r="K56" s="144">
        <v>44621</v>
      </c>
      <c r="L56" s="145">
        <v>17464.75</v>
      </c>
      <c r="M56" s="149">
        <f t="shared" si="3"/>
        <v>3.9946051840251462E-2</v>
      </c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</row>
    <row r="57" spans="1:26" ht="13.8" x14ac:dyDescent="0.25">
      <c r="A57" s="144">
        <v>44652</v>
      </c>
      <c r="B57" s="145">
        <v>1280.2</v>
      </c>
      <c r="C57" s="149">
        <f t="shared" si="2"/>
        <v>-3.6211699164345301E-2</v>
      </c>
      <c r="D57" s="141"/>
      <c r="E57" s="141"/>
      <c r="F57" s="141"/>
      <c r="G57" s="141"/>
      <c r="H57" s="141"/>
      <c r="I57" s="141"/>
      <c r="J57" s="141"/>
      <c r="K57" s="144">
        <v>44652</v>
      </c>
      <c r="L57" s="145">
        <v>17102.55</v>
      </c>
      <c r="M57" s="149">
        <f t="shared" si="3"/>
        <v>-2.0738916961307807E-2</v>
      </c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</row>
    <row r="58" spans="1:26" ht="13.8" x14ac:dyDescent="0.25">
      <c r="A58" s="157">
        <v>44682</v>
      </c>
      <c r="B58" s="145">
        <v>1265.8499999999999</v>
      </c>
      <c r="C58" s="149">
        <f t="shared" si="2"/>
        <v>-1.1209186064677468E-2</v>
      </c>
      <c r="D58" s="141"/>
      <c r="E58" s="141"/>
      <c r="F58" s="141"/>
      <c r="G58" s="141"/>
      <c r="H58" s="141"/>
      <c r="I58" s="141"/>
      <c r="J58" s="141"/>
      <c r="K58" s="157">
        <v>44682</v>
      </c>
      <c r="L58" s="145">
        <v>16584.55</v>
      </c>
      <c r="M58" s="149">
        <f t="shared" si="3"/>
        <v>-3.0287881046978327E-2</v>
      </c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</row>
    <row r="59" spans="1:26" ht="13.8" x14ac:dyDescent="0.25">
      <c r="A59" s="144">
        <v>44713</v>
      </c>
      <c r="B59" s="145">
        <v>1120.95</v>
      </c>
      <c r="C59" s="149">
        <f t="shared" si="2"/>
        <v>-0.11446853892641295</v>
      </c>
      <c r="D59" s="141"/>
      <c r="E59" s="141"/>
      <c r="F59" s="141"/>
      <c r="G59" s="141"/>
      <c r="H59" s="141"/>
      <c r="I59" s="141"/>
      <c r="J59" s="141"/>
      <c r="K59" s="144">
        <v>44713</v>
      </c>
      <c r="L59" s="145">
        <v>15780.25</v>
      </c>
      <c r="M59" s="149">
        <f t="shared" si="3"/>
        <v>-4.8496944445281853E-2</v>
      </c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</row>
    <row r="60" spans="1:26" ht="13.8" x14ac:dyDescent="0.25">
      <c r="A60" s="144">
        <v>44743</v>
      </c>
      <c r="B60" s="145">
        <v>1219.9000000000001</v>
      </c>
      <c r="C60" s="149">
        <f t="shared" si="2"/>
        <v>8.8273339578036625E-2</v>
      </c>
      <c r="D60" s="141"/>
      <c r="E60" s="141"/>
      <c r="F60" s="141"/>
      <c r="G60" s="141"/>
      <c r="H60" s="141"/>
      <c r="I60" s="141"/>
      <c r="J60" s="141"/>
      <c r="K60" s="144">
        <v>44743</v>
      </c>
      <c r="L60" s="145">
        <v>17158.25</v>
      </c>
      <c r="M60" s="149">
        <f t="shared" si="3"/>
        <v>8.7324345305048956E-2</v>
      </c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</row>
    <row r="61" spans="1:26" ht="13.8" x14ac:dyDescent="0.25">
      <c r="A61" s="144">
        <v>44774</v>
      </c>
      <c r="B61" s="145">
        <v>1288.3</v>
      </c>
      <c r="C61" s="149">
        <f t="shared" si="2"/>
        <v>5.6070169686039728E-2</v>
      </c>
      <c r="D61" s="141"/>
      <c r="E61" s="141"/>
      <c r="F61" s="141"/>
      <c r="G61" s="141"/>
      <c r="H61" s="141"/>
      <c r="I61" s="141"/>
      <c r="J61" s="141"/>
      <c r="K61" s="144">
        <v>44774</v>
      </c>
      <c r="L61" s="145">
        <v>17759.3</v>
      </c>
      <c r="M61" s="149">
        <f t="shared" si="3"/>
        <v>3.5029796162195925E-2</v>
      </c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</row>
    <row r="62" spans="1:26" ht="13.8" x14ac:dyDescent="0.25">
      <c r="A62" s="144">
        <v>44805</v>
      </c>
      <c r="B62" s="145">
        <v>1151.1500000000001</v>
      </c>
      <c r="C62" s="149">
        <f t="shared" si="2"/>
        <v>-0.10645812310797165</v>
      </c>
      <c r="D62" s="141"/>
      <c r="E62" s="141"/>
      <c r="F62" s="141"/>
      <c r="G62" s="141"/>
      <c r="H62" s="141"/>
      <c r="I62" s="141"/>
      <c r="J62" s="141"/>
      <c r="K62" s="144">
        <v>44805</v>
      </c>
      <c r="L62" s="145">
        <v>17094.349999999999</v>
      </c>
      <c r="M62" s="149">
        <f t="shared" si="3"/>
        <v>-3.7442354146841383E-2</v>
      </c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</row>
    <row r="63" spans="1:26" ht="13.8" x14ac:dyDescent="0.25">
      <c r="A63" s="144">
        <v>44835</v>
      </c>
      <c r="B63" s="145">
        <v>1169.95</v>
      </c>
      <c r="C63" s="149">
        <f t="shared" si="2"/>
        <v>1.6331494592364049E-2</v>
      </c>
      <c r="D63" s="141"/>
      <c r="E63" s="141"/>
      <c r="F63" s="141"/>
      <c r="G63" s="141"/>
      <c r="H63" s="141"/>
      <c r="I63" s="141"/>
      <c r="J63" s="141"/>
      <c r="K63" s="144">
        <v>44835</v>
      </c>
      <c r="L63" s="145">
        <v>18012.2</v>
      </c>
      <c r="M63" s="149">
        <f t="shared" si="3"/>
        <v>5.3693179325332796E-2</v>
      </c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 spans="1:26" ht="13.8" x14ac:dyDescent="0.25">
      <c r="A64" s="144">
        <v>44866</v>
      </c>
      <c r="B64" s="145">
        <v>1211.1500000000001</v>
      </c>
      <c r="C64" s="149">
        <f t="shared" si="2"/>
        <v>3.5215180135903301E-2</v>
      </c>
      <c r="D64" s="141"/>
      <c r="E64" s="141"/>
      <c r="F64" s="141"/>
      <c r="G64" s="141"/>
      <c r="H64" s="141"/>
      <c r="I64" s="141"/>
      <c r="J64" s="141"/>
      <c r="K64" s="144">
        <v>44866</v>
      </c>
      <c r="L64" s="145">
        <v>18758.349999999999</v>
      </c>
      <c r="M64" s="149">
        <f t="shared" si="3"/>
        <v>4.1424701035964295E-2</v>
      </c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</row>
    <row r="65" spans="1:26" ht="13.8" x14ac:dyDescent="0.25">
      <c r="A65" s="144">
        <v>44896</v>
      </c>
      <c r="B65" s="145">
        <v>1236.8</v>
      </c>
      <c r="C65" s="149">
        <f t="shared" si="2"/>
        <v>2.1178219048012092E-2</v>
      </c>
      <c r="D65" s="141"/>
      <c r="E65" s="141"/>
      <c r="F65" s="141"/>
      <c r="G65" s="141"/>
      <c r="H65" s="141"/>
      <c r="I65" s="141"/>
      <c r="J65" s="141"/>
      <c r="K65" s="144">
        <v>44896</v>
      </c>
      <c r="L65" s="145">
        <v>18105.3</v>
      </c>
      <c r="M65" s="149">
        <f t="shared" si="3"/>
        <v>-3.4813829574562805E-2</v>
      </c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</row>
    <row r="66" spans="1:26" ht="13.8" x14ac:dyDescent="0.25">
      <c r="A66" s="144">
        <v>44927</v>
      </c>
      <c r="B66" s="145">
        <v>1129.75</v>
      </c>
      <c r="C66" s="149">
        <f t="shared" si="2"/>
        <v>-8.6554010349288446E-2</v>
      </c>
      <c r="D66" s="141"/>
      <c r="E66" s="141"/>
      <c r="F66" s="141"/>
      <c r="G66" s="141"/>
      <c r="H66" s="141"/>
      <c r="I66" s="141"/>
      <c r="J66" s="141"/>
      <c r="K66" s="144">
        <v>44927</v>
      </c>
      <c r="L66" s="145">
        <v>17662.150000000001</v>
      </c>
      <c r="M66" s="149">
        <f t="shared" si="3"/>
        <v>-2.4476258333195111E-2</v>
      </c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</row>
    <row r="67" spans="1:26" ht="13.8" x14ac:dyDescent="0.25">
      <c r="A67" s="144">
        <v>44958</v>
      </c>
      <c r="B67" s="145">
        <v>1101.8499999999999</v>
      </c>
      <c r="C67" s="149">
        <f t="shared" ref="C67:C98" si="4">B67/B66-1</f>
        <v>-2.4695729143615952E-2</v>
      </c>
      <c r="D67" s="141"/>
      <c r="E67" s="141"/>
      <c r="F67" s="141"/>
      <c r="G67" s="141"/>
      <c r="H67" s="141"/>
      <c r="I67" s="141"/>
      <c r="J67" s="141"/>
      <c r="K67" s="144">
        <v>44958</v>
      </c>
      <c r="L67" s="145">
        <v>17303.95</v>
      </c>
      <c r="M67" s="149">
        <f t="shared" ref="M67:M98" si="5">L67/L66-1</f>
        <v>-2.0280656658447582E-2</v>
      </c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</row>
    <row r="68" spans="1:26" ht="13.8" x14ac:dyDescent="0.25">
      <c r="A68" s="144">
        <v>44986</v>
      </c>
      <c r="B68" s="145">
        <v>1069.5</v>
      </c>
      <c r="C68" s="149">
        <f t="shared" si="4"/>
        <v>-2.9359713209601956E-2</v>
      </c>
      <c r="D68" s="141"/>
      <c r="E68" s="141"/>
      <c r="F68" s="141"/>
      <c r="G68" s="141"/>
      <c r="H68" s="141"/>
      <c r="I68" s="141"/>
      <c r="J68" s="141"/>
      <c r="K68" s="144">
        <v>44986</v>
      </c>
      <c r="L68" s="145">
        <v>17359.75</v>
      </c>
      <c r="M68" s="149">
        <f t="shared" si="5"/>
        <v>3.2246972512055549E-3</v>
      </c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</row>
    <row r="69" spans="1:26" ht="13.8" x14ac:dyDescent="0.25">
      <c r="A69" s="144">
        <v>45017</v>
      </c>
      <c r="B69" s="145">
        <v>1079.1500000000001</v>
      </c>
      <c r="C69" s="149">
        <f t="shared" si="4"/>
        <v>9.0229079008883328E-3</v>
      </c>
      <c r="D69" s="141"/>
      <c r="E69" s="141"/>
      <c r="F69" s="141"/>
      <c r="G69" s="141"/>
      <c r="H69" s="141"/>
      <c r="I69" s="141"/>
      <c r="J69" s="141"/>
      <c r="K69" s="144">
        <v>45017</v>
      </c>
      <c r="L69" s="145">
        <v>18065</v>
      </c>
      <c r="M69" s="149">
        <f t="shared" si="5"/>
        <v>4.0625585045867663E-2</v>
      </c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</row>
    <row r="70" spans="1:26" ht="13.8" x14ac:dyDescent="0.25">
      <c r="A70" s="157">
        <v>45047</v>
      </c>
      <c r="B70" s="145">
        <v>1182.0999999999999</v>
      </c>
      <c r="C70" s="149">
        <f t="shared" si="4"/>
        <v>9.5399156743733338E-2</v>
      </c>
      <c r="D70" s="141"/>
      <c r="E70" s="141"/>
      <c r="F70" s="141"/>
      <c r="G70" s="141"/>
      <c r="H70" s="141"/>
      <c r="I70" s="141"/>
      <c r="J70" s="141"/>
      <c r="K70" s="157">
        <v>45047</v>
      </c>
      <c r="L70" s="145">
        <v>18534.400000000001</v>
      </c>
      <c r="M70" s="149">
        <f t="shared" si="5"/>
        <v>2.5983946858566309E-2</v>
      </c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</row>
    <row r="71" spans="1:26" ht="13.8" x14ac:dyDescent="0.25">
      <c r="A71" s="144">
        <v>45078</v>
      </c>
      <c r="B71" s="145">
        <v>1344.45</v>
      </c>
      <c r="C71" s="149">
        <f t="shared" si="4"/>
        <v>0.13734032653751815</v>
      </c>
      <c r="D71" s="141"/>
      <c r="E71" s="141"/>
      <c r="F71" s="141"/>
      <c r="G71" s="141"/>
      <c r="H71" s="141"/>
      <c r="I71" s="141"/>
      <c r="J71" s="141"/>
      <c r="K71" s="144">
        <v>45078</v>
      </c>
      <c r="L71" s="145">
        <v>19189.05</v>
      </c>
      <c r="M71" s="149">
        <f t="shared" si="5"/>
        <v>3.5320808874309328E-2</v>
      </c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</row>
    <row r="72" spans="1:26" ht="13.8" x14ac:dyDescent="0.25">
      <c r="A72" s="144">
        <v>45108</v>
      </c>
      <c r="B72" s="145">
        <v>1385.5</v>
      </c>
      <c r="C72" s="149">
        <f t="shared" si="4"/>
        <v>3.0532931682100362E-2</v>
      </c>
      <c r="D72" s="141"/>
      <c r="E72" s="141"/>
      <c r="F72" s="141"/>
      <c r="G72" s="141"/>
      <c r="H72" s="141"/>
      <c r="I72" s="141"/>
      <c r="J72" s="141"/>
      <c r="K72" s="144">
        <v>45108</v>
      </c>
      <c r="L72" s="145">
        <v>19753.8</v>
      </c>
      <c r="M72" s="149">
        <f t="shared" si="5"/>
        <v>2.9430847280089489E-2</v>
      </c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</row>
    <row r="73" spans="1:26" ht="13.8" x14ac:dyDescent="0.25">
      <c r="A73" s="144">
        <v>45139</v>
      </c>
      <c r="B73" s="145">
        <v>1313.7</v>
      </c>
      <c r="C73" s="149">
        <f t="shared" si="4"/>
        <v>-5.1822446770119046E-2</v>
      </c>
      <c r="D73" s="141"/>
      <c r="E73" s="141"/>
      <c r="F73" s="141"/>
      <c r="G73" s="141"/>
      <c r="H73" s="141"/>
      <c r="I73" s="141"/>
      <c r="J73" s="141"/>
      <c r="K73" s="144">
        <v>45139</v>
      </c>
      <c r="L73" s="145">
        <v>19253.8</v>
      </c>
      <c r="M73" s="149">
        <f t="shared" si="5"/>
        <v>-2.5311585618969512E-2</v>
      </c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</row>
    <row r="74" spans="1:26" ht="13.8" x14ac:dyDescent="0.25">
      <c r="A74" s="144">
        <v>45170</v>
      </c>
      <c r="B74" s="145">
        <v>1309.55</v>
      </c>
      <c r="C74" s="149">
        <f t="shared" si="4"/>
        <v>-3.1590165182310281E-3</v>
      </c>
      <c r="D74" s="141"/>
      <c r="E74" s="141"/>
      <c r="F74" s="141"/>
      <c r="G74" s="141"/>
      <c r="H74" s="141"/>
      <c r="I74" s="141"/>
      <c r="J74" s="141"/>
      <c r="K74" s="144">
        <v>45170</v>
      </c>
      <c r="L74" s="145">
        <v>19638.3</v>
      </c>
      <c r="M74" s="149">
        <f t="shared" si="5"/>
        <v>1.9970083827608009E-2</v>
      </c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</row>
    <row r="75" spans="1:26" ht="13.8" x14ac:dyDescent="0.25">
      <c r="A75" s="144">
        <v>45200</v>
      </c>
      <c r="B75" s="145">
        <v>1373.8</v>
      </c>
      <c r="C75" s="149">
        <f t="shared" si="4"/>
        <v>4.9062655110534203E-2</v>
      </c>
      <c r="D75" s="141"/>
      <c r="E75" s="141"/>
      <c r="F75" s="141"/>
      <c r="G75" s="141"/>
      <c r="H75" s="141"/>
      <c r="I75" s="141"/>
      <c r="J75" s="141"/>
      <c r="K75" s="144">
        <v>45200</v>
      </c>
      <c r="L75" s="145">
        <v>19079.599999999999</v>
      </c>
      <c r="M75" s="149">
        <f t="shared" si="5"/>
        <v>-2.844950937708457E-2</v>
      </c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</row>
    <row r="76" spans="1:26" ht="13.8" x14ac:dyDescent="0.25">
      <c r="A76" s="144">
        <v>45231</v>
      </c>
      <c r="B76" s="145">
        <v>1480</v>
      </c>
      <c r="C76" s="149">
        <f t="shared" si="4"/>
        <v>7.7303828796040142E-2</v>
      </c>
      <c r="D76" s="141"/>
      <c r="E76" s="141"/>
      <c r="F76" s="141"/>
      <c r="G76" s="141"/>
      <c r="H76" s="141"/>
      <c r="I76" s="141"/>
      <c r="J76" s="141"/>
      <c r="K76" s="144">
        <v>45231</v>
      </c>
      <c r="L76" s="145">
        <v>20133.150000000001</v>
      </c>
      <c r="M76" s="149">
        <f t="shared" si="5"/>
        <v>5.5218662865049728E-2</v>
      </c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</row>
    <row r="77" spans="1:26" ht="13.8" x14ac:dyDescent="0.25">
      <c r="A77" s="144">
        <v>45261</v>
      </c>
      <c r="B77" s="145">
        <v>1420.1</v>
      </c>
      <c r="C77" s="149">
        <f t="shared" si="4"/>
        <v>-4.0472972972973031E-2</v>
      </c>
      <c r="D77" s="141"/>
      <c r="E77" s="141"/>
      <c r="F77" s="141"/>
      <c r="G77" s="141"/>
      <c r="H77" s="141"/>
      <c r="I77" s="141"/>
      <c r="J77" s="141"/>
      <c r="K77" s="144">
        <v>45261</v>
      </c>
      <c r="L77" s="145">
        <v>21731.4</v>
      </c>
      <c r="M77" s="149">
        <f t="shared" si="5"/>
        <v>7.9384001013254268E-2</v>
      </c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</row>
    <row r="78" spans="1:26" ht="13.8" x14ac:dyDescent="0.25">
      <c r="A78" s="144">
        <v>45292</v>
      </c>
      <c r="B78" s="145">
        <v>1497.1</v>
      </c>
      <c r="C78" s="149">
        <f t="shared" si="4"/>
        <v>5.4221533694810198E-2</v>
      </c>
      <c r="D78" s="141"/>
      <c r="E78" s="141"/>
      <c r="F78" s="141"/>
      <c r="G78" s="141"/>
      <c r="H78" s="141"/>
      <c r="I78" s="141"/>
      <c r="J78" s="141"/>
      <c r="K78" s="144">
        <v>45292</v>
      </c>
      <c r="L78" s="145">
        <v>21725.7</v>
      </c>
      <c r="M78" s="149">
        <f t="shared" si="5"/>
        <v>-2.6229327148741266E-4</v>
      </c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</row>
    <row r="79" spans="1:26" ht="13.8" x14ac:dyDescent="0.25">
      <c r="A79" s="144">
        <v>45323</v>
      </c>
      <c r="B79" s="145">
        <v>1711.75</v>
      </c>
      <c r="C79" s="149">
        <f t="shared" si="4"/>
        <v>0.14337719591209686</v>
      </c>
      <c r="D79" s="141"/>
      <c r="E79" s="141"/>
      <c r="F79" s="141"/>
      <c r="G79" s="141"/>
      <c r="H79" s="141"/>
      <c r="I79" s="141"/>
      <c r="J79" s="141"/>
      <c r="K79" s="144">
        <v>45323</v>
      </c>
      <c r="L79" s="145">
        <v>21982.799999999999</v>
      </c>
      <c r="M79" s="149">
        <f t="shared" si="5"/>
        <v>1.1833910990209695E-2</v>
      </c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</row>
    <row r="80" spans="1:26" ht="13.8" x14ac:dyDescent="0.25">
      <c r="A80" s="144">
        <v>45352</v>
      </c>
      <c r="B80" s="145">
        <v>1684.5</v>
      </c>
      <c r="C80" s="149">
        <f t="shared" si="4"/>
        <v>-1.5919380750693768E-2</v>
      </c>
      <c r="D80" s="141"/>
      <c r="E80" s="141"/>
      <c r="F80" s="141"/>
      <c r="G80" s="141"/>
      <c r="H80" s="141"/>
      <c r="I80" s="141"/>
      <c r="J80" s="141"/>
      <c r="K80" s="144">
        <v>45352</v>
      </c>
      <c r="L80" s="145">
        <v>22326.9</v>
      </c>
      <c r="M80" s="149">
        <f t="shared" si="5"/>
        <v>1.5653147005840973E-2</v>
      </c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</row>
    <row r="81" spans="1:26" ht="13.8" x14ac:dyDescent="0.25">
      <c r="A81" s="144">
        <v>45383</v>
      </c>
      <c r="B81" s="145">
        <v>1710.65</v>
      </c>
      <c r="C81" s="149">
        <f t="shared" si="4"/>
        <v>1.5523894330661925E-2</v>
      </c>
      <c r="D81" s="141"/>
      <c r="E81" s="141"/>
      <c r="F81" s="141"/>
      <c r="G81" s="141"/>
      <c r="H81" s="141"/>
      <c r="I81" s="141"/>
      <c r="J81" s="141"/>
      <c r="K81" s="144">
        <v>45383</v>
      </c>
      <c r="L81" s="145">
        <v>22604.85</v>
      </c>
      <c r="M81" s="149">
        <f t="shared" si="5"/>
        <v>1.2449108474530624E-2</v>
      </c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</row>
    <row r="82" spans="1:26" ht="13.8" x14ac:dyDescent="0.25">
      <c r="A82" s="157">
        <v>45413</v>
      </c>
      <c r="B82" s="145">
        <v>1580.75</v>
      </c>
      <c r="C82" s="149">
        <f t="shared" si="4"/>
        <v>-7.5936047701166243E-2</v>
      </c>
      <c r="D82" s="141"/>
      <c r="E82" s="141"/>
      <c r="F82" s="141"/>
      <c r="G82" s="141"/>
      <c r="H82" s="141"/>
      <c r="I82" s="141"/>
      <c r="J82" s="141"/>
      <c r="K82" s="157">
        <v>45413</v>
      </c>
      <c r="L82" s="145">
        <v>22530.7</v>
      </c>
      <c r="M82" s="149">
        <f t="shared" si="5"/>
        <v>-3.2802694996869608E-3</v>
      </c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</row>
    <row r="83" spans="1:26" ht="13.8" x14ac:dyDescent="0.25">
      <c r="A83" s="144">
        <v>45444</v>
      </c>
      <c r="B83" s="145">
        <v>1789.55</v>
      </c>
      <c r="C83" s="149">
        <f t="shared" si="4"/>
        <v>0.13208919816542775</v>
      </c>
      <c r="D83" s="141"/>
      <c r="E83" s="141"/>
      <c r="F83" s="141"/>
      <c r="G83" s="141"/>
      <c r="H83" s="141"/>
      <c r="I83" s="141"/>
      <c r="J83" s="141"/>
      <c r="K83" s="144">
        <v>45444</v>
      </c>
      <c r="L83" s="145">
        <v>24010.6</v>
      </c>
      <c r="M83" s="149">
        <f t="shared" si="5"/>
        <v>6.5683711558007341E-2</v>
      </c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</row>
    <row r="84" spans="1:26" ht="13.8" x14ac:dyDescent="0.25">
      <c r="A84" s="144">
        <v>45474</v>
      </c>
      <c r="B84" s="145">
        <v>2007.8</v>
      </c>
      <c r="C84" s="149">
        <f t="shared" si="4"/>
        <v>0.1219580341426616</v>
      </c>
      <c r="D84" s="141"/>
      <c r="E84" s="141"/>
      <c r="F84" s="141"/>
      <c r="G84" s="141"/>
      <c r="H84" s="141"/>
      <c r="I84" s="141"/>
      <c r="J84" s="141"/>
      <c r="K84" s="144">
        <v>45474</v>
      </c>
      <c r="L84" s="145">
        <v>24951.15</v>
      </c>
      <c r="M84" s="149">
        <f t="shared" si="5"/>
        <v>3.917228224200997E-2</v>
      </c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</row>
    <row r="85" spans="1:26" ht="13.8" x14ac:dyDescent="0.25">
      <c r="A85" s="144">
        <v>45505</v>
      </c>
      <c r="B85" s="145">
        <v>2141.75</v>
      </c>
      <c r="C85" s="149">
        <f t="shared" si="4"/>
        <v>6.671481223229403E-2</v>
      </c>
      <c r="D85" s="141"/>
      <c r="E85" s="141"/>
      <c r="F85" s="141"/>
      <c r="G85" s="141"/>
      <c r="H85" s="141"/>
      <c r="I85" s="141"/>
      <c r="J85" s="141"/>
      <c r="K85" s="144">
        <v>45505</v>
      </c>
      <c r="L85" s="145">
        <v>25235.9</v>
      </c>
      <c r="M85" s="149">
        <f t="shared" si="5"/>
        <v>1.141229963348378E-2</v>
      </c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</row>
    <row r="86" spans="1:26" ht="13.8" x14ac:dyDescent="0.25">
      <c r="A86" s="144">
        <v>45536</v>
      </c>
      <c r="B86" s="145">
        <v>2174.4</v>
      </c>
      <c r="C86" s="149">
        <f t="shared" si="4"/>
        <v>1.5244543013890555E-2</v>
      </c>
      <c r="D86" s="141"/>
      <c r="E86" s="141"/>
      <c r="F86" s="141"/>
      <c r="G86" s="141"/>
      <c r="H86" s="141"/>
      <c r="I86" s="141"/>
      <c r="J86" s="141"/>
      <c r="K86" s="144">
        <v>45536</v>
      </c>
      <c r="L86" s="145">
        <v>25810.85</v>
      </c>
      <c r="M86" s="149">
        <f t="shared" si="5"/>
        <v>2.2783019428670892E-2</v>
      </c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</row>
    <row r="87" spans="1:26" ht="13.8" x14ac:dyDescent="0.25">
      <c r="A87" s="144">
        <v>45566</v>
      </c>
      <c r="B87" s="145">
        <v>1917.35</v>
      </c>
      <c r="C87" s="149">
        <f t="shared" si="4"/>
        <v>-0.11821651949963219</v>
      </c>
      <c r="D87" s="141"/>
      <c r="E87" s="141"/>
      <c r="F87" s="141"/>
      <c r="G87" s="141"/>
      <c r="H87" s="141"/>
      <c r="I87" s="141"/>
      <c r="J87" s="141"/>
      <c r="K87" s="144">
        <v>45566</v>
      </c>
      <c r="L87" s="145">
        <v>24205.35</v>
      </c>
      <c r="M87" s="149">
        <f t="shared" si="5"/>
        <v>-6.2202523357425266E-2</v>
      </c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</row>
    <row r="88" spans="1:26" ht="13.8" x14ac:dyDescent="0.25">
      <c r="A88" s="144">
        <v>45597</v>
      </c>
      <c r="B88" s="145">
        <v>1861.85</v>
      </c>
      <c r="C88" s="149">
        <f t="shared" si="4"/>
        <v>-2.8946201788927373E-2</v>
      </c>
      <c r="D88" s="141"/>
      <c r="E88" s="141"/>
      <c r="F88" s="141"/>
      <c r="G88" s="141"/>
      <c r="H88" s="141"/>
      <c r="I88" s="141"/>
      <c r="J88" s="141"/>
      <c r="K88" s="144">
        <v>45597</v>
      </c>
      <c r="L88" s="145">
        <v>24131.1</v>
      </c>
      <c r="M88" s="149">
        <f t="shared" si="5"/>
        <v>-3.0675036717089377E-3</v>
      </c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</row>
    <row r="89" spans="1:26" ht="13.8" x14ac:dyDescent="0.25">
      <c r="A89" s="144">
        <v>45627</v>
      </c>
      <c r="B89" s="145">
        <v>1787.75</v>
      </c>
      <c r="C89" s="149">
        <f t="shared" si="4"/>
        <v>-3.9799124526680441E-2</v>
      </c>
      <c r="D89" s="141"/>
      <c r="E89" s="141"/>
      <c r="F89" s="141"/>
      <c r="G89" s="141"/>
      <c r="H89" s="141"/>
      <c r="I89" s="141"/>
      <c r="J89" s="141"/>
      <c r="K89" s="144">
        <v>45627</v>
      </c>
      <c r="L89" s="145">
        <v>23644.799999999999</v>
      </c>
      <c r="M89" s="149">
        <f t="shared" si="5"/>
        <v>-2.0152417419844082E-2</v>
      </c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</row>
    <row r="90" spans="1:26" ht="13.8" x14ac:dyDescent="0.25">
      <c r="A90" s="144">
        <v>45658</v>
      </c>
      <c r="B90" s="145">
        <v>1858.5</v>
      </c>
      <c r="C90" s="149">
        <f t="shared" si="4"/>
        <v>3.9574884631520035E-2</v>
      </c>
      <c r="D90" s="141"/>
      <c r="E90" s="141"/>
      <c r="F90" s="141"/>
      <c r="G90" s="141"/>
      <c r="H90" s="141"/>
      <c r="I90" s="141"/>
      <c r="J90" s="141"/>
      <c r="K90" s="144">
        <v>45658</v>
      </c>
      <c r="L90" s="145">
        <v>23508.400000000001</v>
      </c>
      <c r="M90" s="149">
        <f t="shared" si="5"/>
        <v>-5.7687102449586192E-3</v>
      </c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</row>
    <row r="91" spans="1:26" ht="13.8" x14ac:dyDescent="0.25">
      <c r="A91" s="144">
        <v>45689</v>
      </c>
      <c r="B91" s="145">
        <v>1690.95</v>
      </c>
      <c r="C91" s="149">
        <f t="shared" si="4"/>
        <v>-9.0153349475383338E-2</v>
      </c>
      <c r="D91" s="141"/>
      <c r="E91" s="141"/>
      <c r="F91" s="141"/>
      <c r="G91" s="141"/>
      <c r="H91" s="141"/>
      <c r="I91" s="141"/>
      <c r="J91" s="141"/>
      <c r="K91" s="144">
        <v>45689</v>
      </c>
      <c r="L91" s="145">
        <v>22124.7</v>
      </c>
      <c r="M91" s="149">
        <f t="shared" si="5"/>
        <v>-5.8859811811948104E-2</v>
      </c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</row>
    <row r="92" spans="1:26" ht="13.8" x14ac:dyDescent="0.25">
      <c r="A92" s="144">
        <v>45717</v>
      </c>
      <c r="B92" s="145">
        <v>1792.85</v>
      </c>
      <c r="C92" s="149">
        <f t="shared" si="4"/>
        <v>6.0261982909015632E-2</v>
      </c>
      <c r="D92" s="141"/>
      <c r="E92" s="141"/>
      <c r="F92" s="141"/>
      <c r="G92" s="141"/>
      <c r="H92" s="141"/>
      <c r="I92" s="141"/>
      <c r="J92" s="141"/>
      <c r="K92" s="144">
        <v>45717</v>
      </c>
      <c r="L92" s="145">
        <v>23519.35</v>
      </c>
      <c r="M92" s="149">
        <f t="shared" si="5"/>
        <v>6.3035882972424462E-2</v>
      </c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</row>
    <row r="93" spans="1:26" ht="13.8" x14ac:dyDescent="0.25">
      <c r="A93" s="144">
        <v>45748</v>
      </c>
      <c r="B93" s="145">
        <v>1876.5</v>
      </c>
      <c r="C93" s="149">
        <f t="shared" si="4"/>
        <v>4.6657556404607226E-2</v>
      </c>
      <c r="D93" s="141"/>
      <c r="E93" s="141"/>
      <c r="F93" s="141"/>
      <c r="G93" s="141"/>
      <c r="H93" s="141"/>
      <c r="I93" s="141"/>
      <c r="J93" s="141"/>
      <c r="K93" s="144">
        <v>45748</v>
      </c>
      <c r="L93" s="145">
        <v>24334.2</v>
      </c>
      <c r="M93" s="149">
        <f t="shared" si="5"/>
        <v>3.4645940470293679E-2</v>
      </c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</row>
    <row r="94" spans="1:26" ht="13.8" x14ac:dyDescent="0.25">
      <c r="A94" s="157">
        <v>45778</v>
      </c>
      <c r="B94" s="145">
        <v>1875.4</v>
      </c>
      <c r="C94" s="149">
        <f t="shared" si="4"/>
        <v>-5.8619770849976938E-4</v>
      </c>
      <c r="D94" s="141"/>
      <c r="E94" s="141"/>
      <c r="F94" s="141"/>
      <c r="G94" s="141"/>
      <c r="H94" s="141"/>
      <c r="I94" s="141"/>
      <c r="J94" s="141"/>
      <c r="K94" s="157">
        <v>45778</v>
      </c>
      <c r="L94" s="145">
        <v>24750.7</v>
      </c>
      <c r="M94" s="149">
        <f t="shared" si="5"/>
        <v>1.7115828751304685E-2</v>
      </c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</row>
    <row r="95" spans="1:26" ht="13.8" x14ac:dyDescent="0.25">
      <c r="A95" s="144">
        <v>45809</v>
      </c>
      <c r="B95" s="145">
        <v>2040.2</v>
      </c>
      <c r="C95" s="149">
        <f t="shared" si="4"/>
        <v>8.7874586754825623E-2</v>
      </c>
      <c r="D95" s="141"/>
      <c r="E95" s="141"/>
      <c r="F95" s="141"/>
      <c r="G95" s="141"/>
      <c r="H95" s="141"/>
      <c r="I95" s="141"/>
      <c r="J95" s="141"/>
      <c r="K95" s="144">
        <v>45809</v>
      </c>
      <c r="L95" s="145">
        <v>25517.05</v>
      </c>
      <c r="M95" s="149">
        <f t="shared" si="5"/>
        <v>3.0962760649193788E-2</v>
      </c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</row>
    <row r="96" spans="1:26" ht="13.8" x14ac:dyDescent="0.25">
      <c r="A96" s="144">
        <v>45839</v>
      </c>
      <c r="B96" s="145">
        <v>1927</v>
      </c>
      <c r="C96" s="149">
        <f t="shared" si="4"/>
        <v>-5.5484756396431689E-2</v>
      </c>
      <c r="D96" s="141"/>
      <c r="E96" s="141"/>
      <c r="F96" s="141"/>
      <c r="G96" s="141"/>
      <c r="H96" s="141"/>
      <c r="I96" s="141"/>
      <c r="J96" s="141"/>
      <c r="K96" s="144">
        <v>45839</v>
      </c>
      <c r="L96" s="145">
        <v>24768.35</v>
      </c>
      <c r="M96" s="149">
        <f t="shared" si="5"/>
        <v>-2.9341166004691055E-2</v>
      </c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</row>
    <row r="97" spans="1:26" ht="13.8" x14ac:dyDescent="0.25">
      <c r="A97" s="144">
        <v>45870</v>
      </c>
      <c r="B97" s="145">
        <v>1839.6</v>
      </c>
      <c r="C97" s="149">
        <f t="shared" si="4"/>
        <v>-4.5355474831344056E-2</v>
      </c>
      <c r="D97" s="141"/>
      <c r="E97" s="141"/>
      <c r="F97" s="141"/>
      <c r="G97" s="141"/>
      <c r="H97" s="141"/>
      <c r="I97" s="141"/>
      <c r="J97" s="141"/>
      <c r="K97" s="144">
        <v>45870</v>
      </c>
      <c r="L97" s="145">
        <v>24426.85</v>
      </c>
      <c r="M97" s="149">
        <f t="shared" si="5"/>
        <v>-1.3787757359694952E-2</v>
      </c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</row>
    <row r="98" spans="1:26" ht="13.8" x14ac:dyDescent="0.25">
      <c r="A98" s="144">
        <v>45901</v>
      </c>
      <c r="B98" s="145">
        <v>1889.8</v>
      </c>
      <c r="C98" s="149">
        <f t="shared" si="4"/>
        <v>2.7288540987171039E-2</v>
      </c>
      <c r="D98" s="141"/>
      <c r="E98" s="141"/>
      <c r="F98" s="141"/>
      <c r="G98" s="141"/>
      <c r="H98" s="141"/>
      <c r="I98" s="141"/>
      <c r="J98" s="141"/>
      <c r="K98" s="144">
        <v>45901</v>
      </c>
      <c r="L98" s="145">
        <v>24611.1</v>
      </c>
      <c r="M98" s="149">
        <f t="shared" si="5"/>
        <v>7.5429291947182175E-3</v>
      </c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</row>
    <row r="99" spans="1:26" ht="13.8" x14ac:dyDescent="0.25">
      <c r="A99" s="144">
        <v>45931</v>
      </c>
      <c r="B99" s="145">
        <v>1993.7</v>
      </c>
      <c r="C99" s="149">
        <f t="shared" ref="C99:C130" si="6">B99/B98-1</f>
        <v>5.4979362895544615E-2</v>
      </c>
      <c r="D99" s="141"/>
      <c r="E99" s="141"/>
      <c r="F99" s="141"/>
      <c r="G99" s="141"/>
      <c r="H99" s="141"/>
      <c r="I99" s="141"/>
      <c r="J99" s="141"/>
      <c r="K99" s="144">
        <v>45931</v>
      </c>
      <c r="L99" s="145">
        <v>25722.1</v>
      </c>
      <c r="M99" s="149">
        <f t="shared" ref="M99:M130" si="7">L99/L98-1</f>
        <v>4.5142232569856722E-2</v>
      </c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</row>
    <row r="100" spans="1:26" ht="13.8" x14ac:dyDescent="0.25">
      <c r="A100" s="144">
        <v>45962</v>
      </c>
      <c r="B100" s="145">
        <v>1970.5</v>
      </c>
      <c r="C100" s="149">
        <f t="shared" si="6"/>
        <v>-1.1636655464713819E-2</v>
      </c>
      <c r="D100" s="141"/>
      <c r="E100" s="141"/>
      <c r="F100" s="141"/>
      <c r="G100" s="141"/>
      <c r="H100" s="141"/>
      <c r="I100" s="141"/>
      <c r="J100" s="141"/>
      <c r="K100" s="144">
        <v>45962</v>
      </c>
      <c r="L100" s="145">
        <v>26202.95</v>
      </c>
      <c r="M100" s="149">
        <f t="shared" si="7"/>
        <v>1.8694041310779452E-2</v>
      </c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</row>
    <row r="101" spans="1:26" ht="13.8" x14ac:dyDescent="0.25">
      <c r="A101" s="144">
        <v>45992</v>
      </c>
      <c r="B101" s="145">
        <v>1962.1</v>
      </c>
      <c r="C101" s="149">
        <f t="shared" si="6"/>
        <v>-4.2628774422736049E-3</v>
      </c>
      <c r="D101" s="141"/>
      <c r="E101" s="141"/>
      <c r="F101" s="141"/>
      <c r="G101" s="141"/>
      <c r="H101" s="141"/>
      <c r="I101" s="141"/>
      <c r="J101" s="141"/>
      <c r="K101" s="144">
        <v>45992</v>
      </c>
      <c r="L101" s="145">
        <v>26129.599999999999</v>
      </c>
      <c r="M101" s="149">
        <f t="shared" si="7"/>
        <v>-2.7993031318993555E-3</v>
      </c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</row>
    <row r="102" spans="1:26" ht="13.8" x14ac:dyDescent="0.25">
      <c r="A102" s="144">
        <v>46023</v>
      </c>
      <c r="B102" s="145">
        <v>1814.1</v>
      </c>
      <c r="C102" s="149">
        <f t="shared" si="6"/>
        <v>-7.5429386881402549E-2</v>
      </c>
      <c r="D102" s="141"/>
      <c r="E102" s="141"/>
      <c r="F102" s="141"/>
      <c r="G102" s="141"/>
      <c r="H102" s="141"/>
      <c r="I102" s="141"/>
      <c r="J102" s="141"/>
      <c r="K102" s="144">
        <v>46023</v>
      </c>
      <c r="L102" s="145">
        <v>25320.65</v>
      </c>
      <c r="M102" s="149">
        <f t="shared" si="7"/>
        <v>-3.0959142122343852E-2</v>
      </c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</row>
    <row r="103" spans="1:26" ht="13.8" x14ac:dyDescent="0.25">
      <c r="A103" s="144">
        <v>46054</v>
      </c>
      <c r="B103" s="145">
        <v>1901.5</v>
      </c>
      <c r="C103" s="149">
        <f t="shared" si="6"/>
        <v>4.8178159969130663E-2</v>
      </c>
      <c r="D103" s="141"/>
      <c r="E103" s="141"/>
      <c r="F103" s="141"/>
      <c r="G103" s="141"/>
      <c r="H103" s="141"/>
      <c r="I103" s="141"/>
      <c r="J103" s="141"/>
      <c r="K103" s="144">
        <v>46054</v>
      </c>
      <c r="L103" s="145">
        <v>25178.65</v>
      </c>
      <c r="M103" s="149">
        <f t="shared" si="7"/>
        <v>-5.6080708828565307E-3</v>
      </c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</row>
    <row r="104" spans="1:26" ht="13.8" x14ac:dyDescent="0.25">
      <c r="A104" s="144">
        <v>46082</v>
      </c>
      <c r="B104" s="145">
        <v>1710.6</v>
      </c>
      <c r="C104" s="149">
        <f t="shared" si="6"/>
        <v>-0.10039442545358934</v>
      </c>
      <c r="D104" s="141"/>
      <c r="E104" s="141"/>
      <c r="F104" s="141"/>
      <c r="G104" s="141"/>
      <c r="H104" s="141"/>
      <c r="I104" s="141"/>
      <c r="J104" s="141"/>
      <c r="K104" s="144">
        <v>46082</v>
      </c>
      <c r="L104" s="145">
        <v>22331.4</v>
      </c>
      <c r="M104" s="149">
        <f t="shared" si="7"/>
        <v>-0.11308191662380629</v>
      </c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</row>
    <row r="105" spans="1:26" ht="13.8" x14ac:dyDescent="0.25">
      <c r="A105" s="144">
        <v>46113</v>
      </c>
      <c r="B105" s="145">
        <v>1763.2</v>
      </c>
      <c r="C105" s="149">
        <f t="shared" si="6"/>
        <v>3.0749444639307955E-2</v>
      </c>
      <c r="D105" s="141"/>
      <c r="E105" s="141"/>
      <c r="F105" s="141"/>
      <c r="G105" s="141"/>
      <c r="H105" s="141"/>
      <c r="I105" s="141"/>
      <c r="J105" s="141"/>
      <c r="K105" s="144">
        <v>46113</v>
      </c>
      <c r="L105" s="145">
        <v>23997.55</v>
      </c>
      <c r="M105" s="149">
        <f t="shared" si="7"/>
        <v>7.4610190135862453E-2</v>
      </c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</row>
    <row r="106" spans="1:26" ht="13.8" x14ac:dyDescent="0.25">
      <c r="A106" s="157">
        <v>46143</v>
      </c>
      <c r="B106" s="145">
        <v>1792.2</v>
      </c>
      <c r="C106" s="149">
        <f t="shared" si="6"/>
        <v>1.6447368421052655E-2</v>
      </c>
      <c r="D106" s="141"/>
      <c r="E106" s="141"/>
      <c r="F106" s="141"/>
      <c r="G106" s="141"/>
      <c r="H106" s="141"/>
      <c r="I106" s="141"/>
      <c r="J106" s="141"/>
      <c r="K106" s="157">
        <v>46143</v>
      </c>
      <c r="L106" s="145">
        <v>23547.75</v>
      </c>
      <c r="M106" s="149">
        <f t="shared" si="7"/>
        <v>-1.8743580073799171E-2</v>
      </c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</row>
    <row r="107" spans="1:26" ht="13.8" x14ac:dyDescent="0.25">
      <c r="A107" s="144">
        <v>46174</v>
      </c>
      <c r="B107" s="145">
        <v>1747.9</v>
      </c>
      <c r="C107" s="149">
        <f t="shared" si="6"/>
        <v>-2.4718223412565576E-2</v>
      </c>
      <c r="D107" s="141"/>
      <c r="E107" s="141"/>
      <c r="F107" s="141"/>
      <c r="G107" s="141"/>
      <c r="H107" s="141"/>
      <c r="I107" s="141"/>
      <c r="J107" s="141"/>
      <c r="K107" s="144">
        <v>46174</v>
      </c>
      <c r="L107" s="145">
        <v>23382.6</v>
      </c>
      <c r="M107" s="149">
        <f t="shared" si="7"/>
        <v>-7.0134089244195952E-3</v>
      </c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</row>
    <row r="108" spans="1:26" ht="13.8" x14ac:dyDescent="0.25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</row>
    <row r="109" spans="1:26" ht="13.8" x14ac:dyDescent="0.25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</row>
    <row r="110" spans="1:26" ht="13.8" x14ac:dyDescent="0.25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</row>
    <row r="111" spans="1:26" ht="13.8" x14ac:dyDescent="0.25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</row>
    <row r="112" spans="1:26" ht="13.8" x14ac:dyDescent="0.25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</row>
    <row r="113" spans="1:26" ht="13.8" x14ac:dyDescent="0.25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</row>
    <row r="114" spans="1:26" ht="13.8" x14ac:dyDescent="0.25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</row>
    <row r="115" spans="1:26" ht="13.8" x14ac:dyDescent="0.25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</row>
    <row r="116" spans="1:26" ht="13.8" x14ac:dyDescent="0.25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</row>
    <row r="117" spans="1:26" ht="13.8" x14ac:dyDescent="0.25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</row>
    <row r="118" spans="1:26" ht="13.8" x14ac:dyDescent="0.25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</row>
    <row r="119" spans="1:26" ht="13.8" x14ac:dyDescent="0.25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</row>
    <row r="120" spans="1:26" ht="13.8" x14ac:dyDescent="0.25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</row>
    <row r="121" spans="1:26" ht="13.8" x14ac:dyDescent="0.25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</row>
    <row r="122" spans="1:26" ht="13.8" x14ac:dyDescent="0.25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</row>
    <row r="123" spans="1:26" ht="13.8" x14ac:dyDescent="0.25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</row>
    <row r="124" spans="1:26" ht="13.8" x14ac:dyDescent="0.25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</row>
    <row r="125" spans="1:26" ht="13.8" x14ac:dyDescent="0.25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</row>
    <row r="126" spans="1:26" ht="13.8" x14ac:dyDescent="0.25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</row>
    <row r="127" spans="1:26" ht="13.8" x14ac:dyDescent="0.25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</row>
    <row r="128" spans="1:26" ht="13.8" x14ac:dyDescent="0.25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</row>
    <row r="129" spans="1:26" ht="13.8" x14ac:dyDescent="0.25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</row>
    <row r="130" spans="1:26" ht="13.8" x14ac:dyDescent="0.25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</row>
    <row r="131" spans="1:26" ht="13.8" x14ac:dyDescent="0.25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</row>
    <row r="132" spans="1:26" ht="13.8" x14ac:dyDescent="0.25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</row>
    <row r="133" spans="1:26" ht="13.8" x14ac:dyDescent="0.25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</row>
    <row r="134" spans="1:26" ht="13.8" x14ac:dyDescent="0.25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</row>
    <row r="135" spans="1:26" ht="13.8" x14ac:dyDescent="0.25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</row>
    <row r="136" spans="1:26" ht="13.8" x14ac:dyDescent="0.25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</row>
    <row r="137" spans="1:26" ht="13.8" x14ac:dyDescent="0.25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</row>
    <row r="138" spans="1:26" ht="13.8" x14ac:dyDescent="0.25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</row>
    <row r="139" spans="1:26" ht="13.8" x14ac:dyDescent="0.25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</row>
    <row r="140" spans="1:26" ht="13.8" x14ac:dyDescent="0.25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</row>
    <row r="141" spans="1:26" ht="13.8" x14ac:dyDescent="0.25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</row>
    <row r="142" spans="1:26" ht="13.8" x14ac:dyDescent="0.25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</row>
    <row r="143" spans="1:26" ht="13.8" x14ac:dyDescent="0.25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</row>
    <row r="144" spans="1:26" ht="13.8" x14ac:dyDescent="0.25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</row>
    <row r="145" spans="1:26" ht="13.8" x14ac:dyDescent="0.25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</row>
    <row r="146" spans="1:26" ht="13.8" x14ac:dyDescent="0.25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</row>
    <row r="147" spans="1:26" ht="13.8" x14ac:dyDescent="0.25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</row>
    <row r="148" spans="1:26" ht="13.8" x14ac:dyDescent="0.25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</row>
    <row r="149" spans="1:26" ht="13.8" x14ac:dyDescent="0.25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</row>
    <row r="150" spans="1:26" ht="13.8" x14ac:dyDescent="0.25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</row>
    <row r="151" spans="1:26" ht="13.8" x14ac:dyDescent="0.25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</row>
    <row r="152" spans="1:26" ht="13.8" x14ac:dyDescent="0.25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</row>
    <row r="153" spans="1:26" ht="13.8" x14ac:dyDescent="0.25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</row>
    <row r="154" spans="1:26" ht="13.8" x14ac:dyDescent="0.25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</row>
    <row r="155" spans="1:26" ht="13.8" x14ac:dyDescent="0.25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</row>
    <row r="156" spans="1:26" ht="13.8" x14ac:dyDescent="0.25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</row>
    <row r="157" spans="1:26" ht="13.8" x14ac:dyDescent="0.25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</row>
    <row r="158" spans="1:26" ht="13.8" x14ac:dyDescent="0.25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</row>
    <row r="159" spans="1:26" ht="13.8" x14ac:dyDescent="0.25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</row>
    <row r="160" spans="1:26" ht="13.8" x14ac:dyDescent="0.25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</row>
    <row r="161" spans="1:26" ht="13.8" x14ac:dyDescent="0.25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</row>
    <row r="162" spans="1:26" ht="13.8" x14ac:dyDescent="0.25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</row>
    <row r="163" spans="1:26" ht="13.8" x14ac:dyDescent="0.25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</row>
    <row r="164" spans="1:26" ht="13.8" x14ac:dyDescent="0.25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</row>
    <row r="165" spans="1:26" ht="13.8" x14ac:dyDescent="0.25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</row>
    <row r="166" spans="1:26" ht="13.8" x14ac:dyDescent="0.25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</row>
    <row r="167" spans="1:26" ht="13.8" x14ac:dyDescent="0.25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</row>
    <row r="168" spans="1:26" ht="13.8" x14ac:dyDescent="0.25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</row>
    <row r="169" spans="1:26" ht="13.8" x14ac:dyDescent="0.25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</row>
    <row r="170" spans="1:26" ht="13.8" x14ac:dyDescent="0.25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</row>
    <row r="171" spans="1:26" ht="13.8" x14ac:dyDescent="0.25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</row>
    <row r="172" spans="1:26" ht="13.8" x14ac:dyDescent="0.25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</row>
    <row r="173" spans="1:26" ht="13.8" x14ac:dyDescent="0.25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</row>
    <row r="174" spans="1:26" ht="13.8" x14ac:dyDescent="0.25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</row>
    <row r="175" spans="1:26" ht="13.8" x14ac:dyDescent="0.25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</row>
    <row r="176" spans="1:26" ht="13.8" x14ac:dyDescent="0.25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</row>
    <row r="177" spans="1:26" ht="13.8" x14ac:dyDescent="0.25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</row>
    <row r="178" spans="1:26" ht="13.8" x14ac:dyDescent="0.25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</row>
    <row r="179" spans="1:26" ht="13.8" x14ac:dyDescent="0.25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</row>
    <row r="180" spans="1:26" ht="13.8" x14ac:dyDescent="0.25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</row>
    <row r="181" spans="1:26" ht="13.8" x14ac:dyDescent="0.25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</row>
    <row r="182" spans="1:26" ht="13.8" x14ac:dyDescent="0.25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</row>
    <row r="183" spans="1:26" ht="13.8" x14ac:dyDescent="0.25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</row>
    <row r="184" spans="1:26" ht="13.8" x14ac:dyDescent="0.25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</row>
    <row r="185" spans="1:26" ht="13.8" x14ac:dyDescent="0.25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</row>
    <row r="186" spans="1:26" ht="13.8" x14ac:dyDescent="0.25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</row>
    <row r="187" spans="1:26" ht="13.8" x14ac:dyDescent="0.25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</row>
    <row r="188" spans="1:26" ht="13.8" x14ac:dyDescent="0.25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</row>
    <row r="189" spans="1:26" ht="13.8" x14ac:dyDescent="0.25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</row>
    <row r="190" spans="1:26" ht="13.8" x14ac:dyDescent="0.25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</row>
    <row r="191" spans="1:26" ht="13.8" x14ac:dyDescent="0.25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</row>
    <row r="192" spans="1:26" ht="13.8" x14ac:dyDescent="0.25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</row>
    <row r="193" spans="1:26" ht="13.8" x14ac:dyDescent="0.25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</row>
    <row r="194" spans="1:26" ht="13.8" x14ac:dyDescent="0.25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</row>
    <row r="195" spans="1:26" ht="13.8" x14ac:dyDescent="0.25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</row>
    <row r="196" spans="1:26" ht="13.8" x14ac:dyDescent="0.25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</row>
    <row r="197" spans="1:26" ht="13.8" x14ac:dyDescent="0.25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</row>
    <row r="198" spans="1:26" ht="13.8" x14ac:dyDescent="0.25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</row>
    <row r="199" spans="1:26" ht="13.8" x14ac:dyDescent="0.25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</row>
    <row r="200" spans="1:26" ht="13.8" x14ac:dyDescent="0.25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</row>
    <row r="201" spans="1:26" ht="13.8" x14ac:dyDescent="0.25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</row>
    <row r="202" spans="1:26" ht="13.8" x14ac:dyDescent="0.25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</row>
    <row r="203" spans="1:26" ht="13.8" x14ac:dyDescent="0.25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</row>
    <row r="204" spans="1:26" ht="13.8" x14ac:dyDescent="0.25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</row>
    <row r="205" spans="1:26" ht="13.8" x14ac:dyDescent="0.25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</row>
    <row r="206" spans="1:26" ht="13.8" x14ac:dyDescent="0.25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</row>
    <row r="207" spans="1:26" ht="13.8" x14ac:dyDescent="0.25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</row>
    <row r="208" spans="1:26" ht="13.8" x14ac:dyDescent="0.25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</row>
    <row r="209" spans="1:26" ht="13.8" x14ac:dyDescent="0.25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</row>
    <row r="210" spans="1:26" ht="13.8" x14ac:dyDescent="0.25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</row>
    <row r="211" spans="1:26" ht="13.8" x14ac:dyDescent="0.25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</row>
    <row r="212" spans="1:26" ht="13.8" x14ac:dyDescent="0.25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</row>
    <row r="213" spans="1:26" ht="13.8" x14ac:dyDescent="0.25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</row>
    <row r="214" spans="1:26" ht="13.8" x14ac:dyDescent="0.25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</row>
    <row r="215" spans="1:26" ht="13.8" x14ac:dyDescent="0.25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</row>
    <row r="216" spans="1:26" ht="13.8" x14ac:dyDescent="0.25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</row>
    <row r="217" spans="1:26" ht="13.8" x14ac:dyDescent="0.25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</row>
    <row r="218" spans="1:26" ht="13.8" x14ac:dyDescent="0.25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</row>
    <row r="219" spans="1:26" ht="13.8" x14ac:dyDescent="0.25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</row>
    <row r="220" spans="1:26" ht="13.8" x14ac:dyDescent="0.25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</row>
    <row r="221" spans="1:26" ht="13.8" x14ac:dyDescent="0.25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</row>
    <row r="222" spans="1:26" ht="13.8" x14ac:dyDescent="0.25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</row>
    <row r="223" spans="1:26" ht="13.8" x14ac:dyDescent="0.25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</row>
    <row r="224" spans="1:26" ht="13.8" x14ac:dyDescent="0.25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</row>
    <row r="225" spans="1:26" ht="13.8" x14ac:dyDescent="0.25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</row>
    <row r="226" spans="1:26" ht="13.8" x14ac:dyDescent="0.25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</row>
    <row r="227" spans="1:26" ht="13.8" x14ac:dyDescent="0.25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</row>
    <row r="228" spans="1:26" ht="13.8" x14ac:dyDescent="0.25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</row>
    <row r="229" spans="1:26" ht="13.8" x14ac:dyDescent="0.25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</row>
    <row r="230" spans="1:26" ht="13.8" x14ac:dyDescent="0.25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</row>
    <row r="231" spans="1:26" ht="13.8" x14ac:dyDescent="0.25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</row>
    <row r="232" spans="1:26" ht="13.8" x14ac:dyDescent="0.25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</row>
    <row r="233" spans="1:26" ht="13.8" x14ac:dyDescent="0.25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</row>
    <row r="234" spans="1:26" ht="13.8" x14ac:dyDescent="0.25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</row>
    <row r="235" spans="1:26" ht="13.8" x14ac:dyDescent="0.25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</row>
    <row r="236" spans="1:26" ht="13.8" x14ac:dyDescent="0.25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</row>
    <row r="237" spans="1:26" ht="13.8" x14ac:dyDescent="0.25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</row>
    <row r="238" spans="1:26" ht="13.8" x14ac:dyDescent="0.25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</row>
    <row r="239" spans="1:26" ht="13.8" x14ac:dyDescent="0.25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</row>
    <row r="240" spans="1:26" ht="13.8" x14ac:dyDescent="0.25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</row>
    <row r="241" spans="1:26" ht="13.8" x14ac:dyDescent="0.25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</row>
    <row r="242" spans="1:26" ht="13.8" x14ac:dyDescent="0.25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</row>
    <row r="243" spans="1:26" ht="13.8" x14ac:dyDescent="0.25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</row>
    <row r="244" spans="1:26" ht="13.8" x14ac:dyDescent="0.25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</row>
    <row r="245" spans="1:26" ht="13.8" x14ac:dyDescent="0.25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</row>
    <row r="246" spans="1:26" ht="13.8" x14ac:dyDescent="0.25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</row>
    <row r="247" spans="1:26" ht="13.8" x14ac:dyDescent="0.25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</row>
    <row r="248" spans="1:26" ht="13.8" x14ac:dyDescent="0.25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</row>
    <row r="249" spans="1:26" ht="13.8" x14ac:dyDescent="0.25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</row>
    <row r="250" spans="1:26" ht="13.8" x14ac:dyDescent="0.25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</row>
    <row r="251" spans="1:26" ht="13.8" x14ac:dyDescent="0.25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</row>
    <row r="252" spans="1:26" ht="13.8" x14ac:dyDescent="0.25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</row>
    <row r="253" spans="1:26" ht="13.8" x14ac:dyDescent="0.25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</row>
    <row r="254" spans="1:26" ht="13.8" x14ac:dyDescent="0.25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</row>
    <row r="255" spans="1:26" ht="13.8" x14ac:dyDescent="0.25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</row>
    <row r="256" spans="1:26" ht="13.8" x14ac:dyDescent="0.25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</row>
    <row r="257" spans="1:26" ht="13.8" x14ac:dyDescent="0.25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</row>
    <row r="258" spans="1:26" ht="13.8" x14ac:dyDescent="0.25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</row>
    <row r="259" spans="1:26" ht="13.8" x14ac:dyDescent="0.25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</row>
    <row r="260" spans="1:26" ht="13.8" x14ac:dyDescent="0.25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</row>
    <row r="261" spans="1:26" ht="13.8" x14ac:dyDescent="0.25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</row>
    <row r="262" spans="1:26" ht="13.8" x14ac:dyDescent="0.25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</row>
    <row r="263" spans="1:26" ht="13.8" x14ac:dyDescent="0.25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</row>
    <row r="264" spans="1:26" ht="13.8" x14ac:dyDescent="0.25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</row>
    <row r="265" spans="1:26" ht="13.8" x14ac:dyDescent="0.25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</row>
    <row r="266" spans="1:26" ht="13.8" x14ac:dyDescent="0.25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</row>
    <row r="267" spans="1:26" ht="13.8" x14ac:dyDescent="0.25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</row>
    <row r="268" spans="1:26" ht="13.8" x14ac:dyDescent="0.25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</row>
    <row r="269" spans="1:26" ht="13.8" x14ac:dyDescent="0.25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</row>
    <row r="270" spans="1:26" ht="13.8" x14ac:dyDescent="0.25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</row>
    <row r="271" spans="1:26" ht="13.8" x14ac:dyDescent="0.25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</row>
    <row r="272" spans="1:26" ht="13.8" x14ac:dyDescent="0.25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</row>
    <row r="273" spans="1:26" ht="13.8" x14ac:dyDescent="0.25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</row>
    <row r="274" spans="1:26" ht="13.8" x14ac:dyDescent="0.25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</row>
    <row r="275" spans="1:26" ht="13.8" x14ac:dyDescent="0.25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</row>
    <row r="276" spans="1:26" ht="13.8" x14ac:dyDescent="0.25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</row>
    <row r="277" spans="1:26" ht="13.8" x14ac:dyDescent="0.25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</row>
    <row r="278" spans="1:26" ht="13.8" x14ac:dyDescent="0.25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</row>
    <row r="279" spans="1:26" ht="13.8" x14ac:dyDescent="0.25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</row>
    <row r="280" spans="1:26" ht="13.8" x14ac:dyDescent="0.25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</row>
    <row r="281" spans="1:26" ht="13.8" x14ac:dyDescent="0.25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</row>
    <row r="282" spans="1:26" ht="13.8" x14ac:dyDescent="0.25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</row>
    <row r="283" spans="1:26" ht="13.8" x14ac:dyDescent="0.25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</row>
    <row r="284" spans="1:26" ht="13.8" x14ac:dyDescent="0.25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</row>
    <row r="285" spans="1:26" ht="13.8" x14ac:dyDescent="0.25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</row>
    <row r="286" spans="1:26" ht="13.8" x14ac:dyDescent="0.25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 spans="1:26" ht="13.8" x14ac:dyDescent="0.25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</row>
    <row r="288" spans="1:26" ht="13.8" x14ac:dyDescent="0.25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</row>
    <row r="289" spans="1:26" ht="13.8" x14ac:dyDescent="0.25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</row>
    <row r="290" spans="1:26" ht="13.8" x14ac:dyDescent="0.25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</row>
    <row r="291" spans="1:26" ht="13.8" x14ac:dyDescent="0.25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</row>
    <row r="292" spans="1:26" ht="13.8" x14ac:dyDescent="0.25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</row>
    <row r="293" spans="1:26" ht="13.8" x14ac:dyDescent="0.25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</row>
    <row r="294" spans="1:26" ht="13.8" x14ac:dyDescent="0.25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</row>
    <row r="295" spans="1:26" ht="13.8" x14ac:dyDescent="0.25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</row>
    <row r="296" spans="1:26" ht="13.8" x14ac:dyDescent="0.25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</row>
    <row r="297" spans="1:26" ht="13.8" x14ac:dyDescent="0.25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</row>
    <row r="298" spans="1:26" ht="13.8" x14ac:dyDescent="0.25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</row>
    <row r="299" spans="1:26" ht="13.8" x14ac:dyDescent="0.25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</row>
    <row r="300" spans="1:26" ht="13.8" x14ac:dyDescent="0.25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</row>
    <row r="301" spans="1:26" ht="13.8" x14ac:dyDescent="0.25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</row>
    <row r="302" spans="1:26" ht="13.8" x14ac:dyDescent="0.25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</row>
    <row r="303" spans="1:26" ht="13.8" x14ac:dyDescent="0.25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</row>
    <row r="304" spans="1:26" ht="13.8" x14ac:dyDescent="0.25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</row>
    <row r="305" spans="1:26" ht="13.8" x14ac:dyDescent="0.25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</row>
    <row r="306" spans="1:26" ht="13.8" x14ac:dyDescent="0.25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</row>
    <row r="307" spans="1:26" ht="13.8" x14ac:dyDescent="0.25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</row>
    <row r="308" spans="1:26" ht="13.8" x14ac:dyDescent="0.25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</row>
    <row r="309" spans="1:26" ht="13.8" x14ac:dyDescent="0.25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</row>
    <row r="310" spans="1:26" ht="13.8" x14ac:dyDescent="0.25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</row>
    <row r="311" spans="1:26" ht="13.8" x14ac:dyDescent="0.25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 spans="1:26" ht="13.8" x14ac:dyDescent="0.25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 spans="1:26" ht="13.8" x14ac:dyDescent="0.25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</row>
    <row r="314" spans="1:26" ht="13.8" x14ac:dyDescent="0.25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 spans="1:26" ht="13.8" x14ac:dyDescent="0.25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 spans="1:26" ht="13.8" x14ac:dyDescent="0.25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 spans="1:26" ht="13.8" x14ac:dyDescent="0.25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 spans="1:26" ht="13.8" x14ac:dyDescent="0.25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 spans="1:26" ht="13.8" x14ac:dyDescent="0.25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 spans="1:26" ht="13.8" x14ac:dyDescent="0.25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 spans="1:26" ht="13.8" x14ac:dyDescent="0.25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 spans="1:26" ht="13.8" x14ac:dyDescent="0.25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 spans="1:26" ht="13.8" x14ac:dyDescent="0.25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 spans="1:26" ht="13.8" x14ac:dyDescent="0.25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 spans="1:26" ht="13.8" x14ac:dyDescent="0.25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 spans="1:26" ht="13.8" x14ac:dyDescent="0.25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 spans="1:26" ht="13.8" x14ac:dyDescent="0.25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 spans="1:26" ht="13.8" x14ac:dyDescent="0.25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 spans="1:26" ht="13.8" x14ac:dyDescent="0.25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 spans="1:26" ht="13.8" x14ac:dyDescent="0.25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 spans="1:26" ht="13.8" x14ac:dyDescent="0.25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 spans="1:26" ht="13.8" x14ac:dyDescent="0.25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 spans="1:26" ht="13.8" x14ac:dyDescent="0.25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 spans="1:26" ht="13.8" x14ac:dyDescent="0.25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 spans="1:26" ht="13.8" x14ac:dyDescent="0.25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 spans="1:26" ht="13.8" x14ac:dyDescent="0.25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 spans="1:26" ht="13.8" x14ac:dyDescent="0.25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 spans="1:26" ht="13.8" x14ac:dyDescent="0.25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 spans="1:26" ht="13.8" x14ac:dyDescent="0.25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 spans="1:26" ht="13.8" x14ac:dyDescent="0.25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 spans="1:26" ht="13.8" x14ac:dyDescent="0.25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 spans="1:26" ht="13.8" x14ac:dyDescent="0.25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 spans="1:26" ht="13.8" x14ac:dyDescent="0.25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 spans="1:26" ht="13.8" x14ac:dyDescent="0.25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 spans="1:26" ht="13.8" x14ac:dyDescent="0.2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 spans="1:26" ht="13.8" x14ac:dyDescent="0.25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 spans="1:26" ht="13.8" x14ac:dyDescent="0.25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 spans="1:26" ht="13.8" x14ac:dyDescent="0.25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 spans="1:26" ht="13.8" x14ac:dyDescent="0.25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 spans="1:26" ht="13.8" x14ac:dyDescent="0.25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 spans="1:26" ht="13.8" x14ac:dyDescent="0.25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 spans="1:26" ht="13.8" x14ac:dyDescent="0.25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 spans="1:26" ht="13.8" x14ac:dyDescent="0.25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 spans="1:26" ht="13.8" x14ac:dyDescent="0.25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 spans="1:26" ht="13.8" x14ac:dyDescent="0.25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 spans="1:26" ht="13.8" x14ac:dyDescent="0.25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 spans="1:26" ht="13.8" x14ac:dyDescent="0.25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 spans="1:26" ht="13.8" x14ac:dyDescent="0.25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 spans="1:26" ht="13.8" x14ac:dyDescent="0.25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 spans="1:26" ht="13.8" x14ac:dyDescent="0.25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 spans="1:26" ht="13.8" x14ac:dyDescent="0.25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 spans="1:26" ht="13.8" x14ac:dyDescent="0.25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 spans="1:26" ht="13.8" x14ac:dyDescent="0.25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 spans="1:26" ht="13.8" x14ac:dyDescent="0.25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 spans="1:26" ht="13.8" x14ac:dyDescent="0.25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 spans="1:26" ht="13.8" x14ac:dyDescent="0.25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 spans="1:26" ht="13.8" x14ac:dyDescent="0.25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 spans="1:26" ht="13.8" x14ac:dyDescent="0.25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 spans="1:26" ht="13.8" x14ac:dyDescent="0.25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 spans="1:26" ht="13.8" x14ac:dyDescent="0.25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 spans="1:26" ht="13.8" x14ac:dyDescent="0.25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 spans="1:26" ht="13.8" x14ac:dyDescent="0.25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 spans="1:26" ht="13.8" x14ac:dyDescent="0.25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 spans="1:26" ht="13.8" x14ac:dyDescent="0.25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 spans="1:26" ht="13.8" x14ac:dyDescent="0.25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 spans="1:26" ht="13.8" x14ac:dyDescent="0.25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 spans="1:26" ht="13.8" x14ac:dyDescent="0.25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 spans="1:26" ht="13.8" x14ac:dyDescent="0.25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 spans="1:26" ht="13.8" x14ac:dyDescent="0.25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 spans="1:26" ht="13.8" x14ac:dyDescent="0.25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 spans="1:26" ht="13.8" x14ac:dyDescent="0.25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 spans="1:26" ht="13.8" x14ac:dyDescent="0.25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 spans="1:26" ht="13.8" x14ac:dyDescent="0.25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 spans="1:26" ht="13.8" x14ac:dyDescent="0.25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 spans="1:26" ht="13.8" x14ac:dyDescent="0.25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 spans="1:26" ht="13.8" x14ac:dyDescent="0.25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 spans="1:26" ht="13.8" x14ac:dyDescent="0.25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 spans="1:26" ht="13.8" x14ac:dyDescent="0.25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 spans="1:26" ht="13.8" x14ac:dyDescent="0.25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 spans="1:26" ht="13.8" x14ac:dyDescent="0.25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 spans="1:26" ht="13.8" x14ac:dyDescent="0.25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 spans="1:26" ht="13.8" x14ac:dyDescent="0.25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 spans="1:26" ht="13.8" x14ac:dyDescent="0.25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 spans="1:26" ht="13.8" x14ac:dyDescent="0.25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 spans="1:26" ht="13.8" x14ac:dyDescent="0.25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 spans="1:26" ht="13.8" x14ac:dyDescent="0.25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 spans="1:26" ht="13.8" x14ac:dyDescent="0.25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 spans="1:26" ht="13.8" x14ac:dyDescent="0.25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 spans="1:26" ht="13.8" x14ac:dyDescent="0.25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 spans="1:26" ht="13.8" x14ac:dyDescent="0.25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 spans="1:26" ht="13.8" x14ac:dyDescent="0.25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 spans="1:26" ht="13.8" x14ac:dyDescent="0.25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 spans="1:26" ht="13.8" x14ac:dyDescent="0.25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 spans="1:26" ht="13.8" x14ac:dyDescent="0.25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 spans="1:26" ht="13.8" x14ac:dyDescent="0.25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 spans="1:26" ht="13.8" x14ac:dyDescent="0.25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 spans="1:26" ht="13.8" x14ac:dyDescent="0.25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 spans="1:26" ht="13.8" x14ac:dyDescent="0.25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 spans="1:26" ht="13.8" x14ac:dyDescent="0.25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 spans="1:26" ht="13.8" x14ac:dyDescent="0.25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 spans="1:26" ht="13.8" x14ac:dyDescent="0.25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 spans="1:26" ht="13.8" x14ac:dyDescent="0.25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 spans="1:26" ht="13.8" x14ac:dyDescent="0.25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 spans="1:26" ht="13.8" x14ac:dyDescent="0.25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 spans="1:26" ht="13.8" x14ac:dyDescent="0.25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 spans="1:26" ht="13.8" x14ac:dyDescent="0.25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 spans="1:26" ht="13.8" x14ac:dyDescent="0.25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 spans="1:26" ht="13.8" x14ac:dyDescent="0.25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 spans="1:26" ht="13.8" x14ac:dyDescent="0.25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 spans="1:26" ht="13.8" x14ac:dyDescent="0.25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 spans="1:26" ht="13.8" x14ac:dyDescent="0.25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 spans="1:26" ht="13.8" x14ac:dyDescent="0.25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 spans="1:26" ht="13.8" x14ac:dyDescent="0.25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 spans="1:26" ht="13.8" x14ac:dyDescent="0.25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 spans="1:26" ht="13.8" x14ac:dyDescent="0.25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 spans="1:26" ht="13.8" x14ac:dyDescent="0.25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 spans="1:26" ht="13.8" x14ac:dyDescent="0.25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 spans="1:26" ht="13.8" x14ac:dyDescent="0.25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 spans="1:26" ht="13.8" x14ac:dyDescent="0.25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 spans="1:26" ht="13.8" x14ac:dyDescent="0.25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 spans="1:26" ht="13.8" x14ac:dyDescent="0.25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 spans="1:26" ht="13.8" x14ac:dyDescent="0.25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 spans="1:26" ht="13.8" x14ac:dyDescent="0.25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 spans="1:26" ht="13.8" x14ac:dyDescent="0.25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 spans="1:26" ht="13.8" x14ac:dyDescent="0.25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 spans="1:26" ht="13.8" x14ac:dyDescent="0.25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 spans="1:26" ht="13.8" x14ac:dyDescent="0.25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 spans="1:26" ht="13.8" x14ac:dyDescent="0.25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 spans="1:26" ht="13.8" x14ac:dyDescent="0.25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 spans="1:26" ht="13.8" x14ac:dyDescent="0.25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 spans="1:26" ht="13.8" x14ac:dyDescent="0.25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 spans="1:26" ht="13.8" x14ac:dyDescent="0.25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 spans="1:26" ht="13.8" x14ac:dyDescent="0.25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 spans="1:26" ht="13.8" x14ac:dyDescent="0.25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 spans="1:26" ht="13.8" x14ac:dyDescent="0.25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 spans="1:26" ht="13.8" x14ac:dyDescent="0.25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 spans="1:26" ht="13.8" x14ac:dyDescent="0.25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 spans="1:26" ht="13.8" x14ac:dyDescent="0.25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 spans="1:26" ht="13.8" x14ac:dyDescent="0.25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 spans="1:26" ht="13.8" x14ac:dyDescent="0.25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 spans="1:26" ht="13.8" x14ac:dyDescent="0.25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 spans="1:26" ht="13.8" x14ac:dyDescent="0.25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 spans="1:26" ht="13.8" x14ac:dyDescent="0.25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 spans="1:26" ht="13.8" x14ac:dyDescent="0.25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 spans="1:26" ht="13.8" x14ac:dyDescent="0.25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 spans="1:26" ht="13.8" x14ac:dyDescent="0.25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 spans="1:26" ht="13.8" x14ac:dyDescent="0.25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 spans="1:26" ht="13.8" x14ac:dyDescent="0.25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 spans="1:26" ht="13.8" x14ac:dyDescent="0.25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 spans="1:26" ht="13.8" x14ac:dyDescent="0.25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 spans="1:26" ht="13.8" x14ac:dyDescent="0.25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 spans="1:26" ht="13.8" x14ac:dyDescent="0.25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 spans="1:26" ht="13.8" x14ac:dyDescent="0.25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 spans="1:26" ht="13.8" x14ac:dyDescent="0.25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 spans="1:26" ht="13.8" x14ac:dyDescent="0.25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 spans="1:26" ht="13.8" x14ac:dyDescent="0.25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 spans="1:26" ht="13.8" x14ac:dyDescent="0.25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 spans="1:26" ht="13.8" x14ac:dyDescent="0.25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 spans="1:26" ht="13.8" x14ac:dyDescent="0.25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 spans="1:26" ht="13.8" x14ac:dyDescent="0.25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 spans="1:26" ht="13.8" x14ac:dyDescent="0.25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 spans="1:26" ht="13.8" x14ac:dyDescent="0.25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 spans="1:26" ht="13.8" x14ac:dyDescent="0.25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 spans="1:26" ht="13.8" x14ac:dyDescent="0.25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 spans="1:26" ht="13.8" x14ac:dyDescent="0.25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 spans="1:26" ht="13.8" x14ac:dyDescent="0.25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 spans="1:26" ht="13.8" x14ac:dyDescent="0.25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 spans="1:26" ht="13.8" x14ac:dyDescent="0.25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 spans="1:26" ht="13.8" x14ac:dyDescent="0.25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 spans="1:26" ht="13.8" x14ac:dyDescent="0.25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 spans="1:26" ht="13.8" x14ac:dyDescent="0.25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 spans="1:26" ht="13.8" x14ac:dyDescent="0.25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 spans="1:26" ht="13.8" x14ac:dyDescent="0.25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 spans="1:26" ht="13.8" x14ac:dyDescent="0.25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 spans="1:26" ht="13.8" x14ac:dyDescent="0.25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 spans="1:26" ht="13.8" x14ac:dyDescent="0.25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 spans="1:26" ht="13.8" x14ac:dyDescent="0.25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 spans="1:26" ht="13.8" x14ac:dyDescent="0.25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 spans="1:26" ht="13.8" x14ac:dyDescent="0.25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 spans="1:26" ht="13.8" x14ac:dyDescent="0.25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 spans="1:26" ht="13.8" x14ac:dyDescent="0.25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 spans="1:26" ht="13.8" x14ac:dyDescent="0.25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 spans="1:26" ht="13.8" x14ac:dyDescent="0.25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 spans="1:26" ht="13.8" x14ac:dyDescent="0.25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 spans="1:26" ht="13.8" x14ac:dyDescent="0.25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 spans="1:26" ht="13.8" x14ac:dyDescent="0.25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 spans="1:26" ht="13.8" x14ac:dyDescent="0.25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 spans="1:26" ht="13.8" x14ac:dyDescent="0.25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 spans="1:26" ht="13.8" x14ac:dyDescent="0.25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 spans="1:26" ht="13.8" x14ac:dyDescent="0.25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 spans="1:26" ht="13.8" x14ac:dyDescent="0.25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 spans="1:26" ht="13.8" x14ac:dyDescent="0.25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 spans="1:26" ht="13.8" x14ac:dyDescent="0.25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 spans="1:26" ht="13.8" x14ac:dyDescent="0.25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 spans="1:26" ht="13.8" x14ac:dyDescent="0.25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 spans="1:26" ht="13.8" x14ac:dyDescent="0.25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 spans="1:26" ht="13.8" x14ac:dyDescent="0.25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 spans="1:26" ht="13.8" x14ac:dyDescent="0.25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 spans="1:26" ht="13.8" x14ac:dyDescent="0.25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 spans="1:26" ht="13.8" x14ac:dyDescent="0.25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 spans="1:26" ht="13.8" x14ac:dyDescent="0.25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 spans="1:26" ht="13.8" x14ac:dyDescent="0.25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 spans="1:26" ht="13.8" x14ac:dyDescent="0.25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 spans="1:26" ht="13.8" x14ac:dyDescent="0.25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 spans="1:26" ht="13.8" x14ac:dyDescent="0.25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 spans="1:26" ht="13.8" x14ac:dyDescent="0.25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 spans="1:26" ht="13.8" x14ac:dyDescent="0.25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 spans="1:26" ht="13.8" x14ac:dyDescent="0.25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 spans="1:26" ht="13.8" x14ac:dyDescent="0.25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 spans="1:26" ht="13.8" x14ac:dyDescent="0.25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 spans="1:26" ht="13.8" x14ac:dyDescent="0.25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 spans="1:26" ht="13.8" x14ac:dyDescent="0.25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 spans="1:26" ht="13.8" x14ac:dyDescent="0.25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 spans="1:26" ht="13.8" x14ac:dyDescent="0.25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 spans="1:26" ht="13.8" x14ac:dyDescent="0.25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 spans="1:26" ht="13.8" x14ac:dyDescent="0.25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 spans="1:26" ht="13.8" x14ac:dyDescent="0.25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 spans="1:26" ht="13.8" x14ac:dyDescent="0.25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 spans="1:26" ht="13.8" x14ac:dyDescent="0.25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 spans="1:26" ht="13.8" x14ac:dyDescent="0.25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 spans="1:26" ht="13.8" x14ac:dyDescent="0.25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 spans="1:26" ht="13.8" x14ac:dyDescent="0.25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 spans="1:26" ht="13.8" x14ac:dyDescent="0.25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 spans="1:26" ht="13.8" x14ac:dyDescent="0.25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 spans="1:26" ht="13.8" x14ac:dyDescent="0.25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 spans="1:26" ht="13.8" x14ac:dyDescent="0.25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 spans="1:26" ht="13.8" x14ac:dyDescent="0.25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 spans="1:26" ht="13.8" x14ac:dyDescent="0.25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 spans="1:26" ht="13.8" x14ac:dyDescent="0.25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 spans="1:26" ht="13.8" x14ac:dyDescent="0.25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 spans="1:26" ht="13.8" x14ac:dyDescent="0.25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 spans="1:26" ht="13.8" x14ac:dyDescent="0.25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 spans="1:26" ht="13.8" x14ac:dyDescent="0.25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 spans="1:26" ht="13.8" x14ac:dyDescent="0.25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 spans="1:26" ht="13.8" x14ac:dyDescent="0.25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 spans="1:26" ht="13.8" x14ac:dyDescent="0.25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 spans="1:26" ht="13.8" x14ac:dyDescent="0.25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 spans="1:26" ht="13.8" x14ac:dyDescent="0.25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 spans="1:26" ht="13.8" x14ac:dyDescent="0.25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 spans="1:26" ht="13.8" x14ac:dyDescent="0.25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 spans="1:26" ht="13.8" x14ac:dyDescent="0.25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 spans="1:26" ht="13.8" x14ac:dyDescent="0.25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 spans="1:26" ht="13.8" x14ac:dyDescent="0.25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 spans="1:26" ht="13.8" x14ac:dyDescent="0.25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 spans="1:26" ht="13.8" x14ac:dyDescent="0.25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 spans="1:26" ht="13.8" x14ac:dyDescent="0.25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 spans="1:26" ht="13.8" x14ac:dyDescent="0.25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 spans="1:26" ht="13.8" x14ac:dyDescent="0.25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 spans="1:26" ht="13.8" x14ac:dyDescent="0.25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 spans="1:26" ht="13.8" x14ac:dyDescent="0.25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 spans="1:26" ht="13.8" x14ac:dyDescent="0.25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 spans="1:26" ht="13.8" x14ac:dyDescent="0.25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 spans="1:26" ht="13.8" x14ac:dyDescent="0.25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 spans="1:26" ht="13.8" x14ac:dyDescent="0.25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 spans="1:26" ht="13.8" x14ac:dyDescent="0.25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 spans="1:26" ht="13.8" x14ac:dyDescent="0.25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 spans="1:26" ht="13.8" x14ac:dyDescent="0.25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 spans="1:26" ht="13.8" x14ac:dyDescent="0.25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 spans="1:26" ht="13.8" x14ac:dyDescent="0.25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 spans="1:26" ht="13.8" x14ac:dyDescent="0.25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 spans="1:26" ht="13.8" x14ac:dyDescent="0.25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 spans="1:26" ht="13.8" x14ac:dyDescent="0.25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 spans="1:26" ht="13.8" x14ac:dyDescent="0.25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 spans="1:26" ht="13.8" x14ac:dyDescent="0.25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 spans="1:26" ht="13.8" x14ac:dyDescent="0.25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 spans="1:26" ht="13.8" x14ac:dyDescent="0.25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 spans="1:26" ht="13.8" x14ac:dyDescent="0.25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 spans="1:26" ht="13.8" x14ac:dyDescent="0.25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 spans="1:26" ht="13.8" x14ac:dyDescent="0.25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 spans="1:26" ht="13.8" x14ac:dyDescent="0.25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 spans="1:26" ht="13.8" x14ac:dyDescent="0.25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 spans="1:26" ht="13.8" x14ac:dyDescent="0.25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 spans="1:26" ht="13.8" x14ac:dyDescent="0.25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 spans="1:26" ht="13.8" x14ac:dyDescent="0.25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 spans="1:26" ht="13.8" x14ac:dyDescent="0.25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 spans="1:26" ht="13.8" x14ac:dyDescent="0.25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 spans="1:26" ht="13.8" x14ac:dyDescent="0.25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 spans="1:26" ht="13.8" x14ac:dyDescent="0.25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 spans="1:26" ht="13.8" x14ac:dyDescent="0.25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 spans="1:26" ht="13.8" x14ac:dyDescent="0.25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 spans="1:26" ht="13.8" x14ac:dyDescent="0.25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 spans="1:26" ht="13.8" x14ac:dyDescent="0.25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 spans="1:26" ht="13.8" x14ac:dyDescent="0.25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 spans="1:26" ht="13.8" x14ac:dyDescent="0.25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 spans="1:26" ht="13.8" x14ac:dyDescent="0.25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 spans="1:26" ht="13.8" x14ac:dyDescent="0.25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 spans="1:26" ht="13.8" x14ac:dyDescent="0.25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 spans="1:26" ht="13.8" x14ac:dyDescent="0.25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 spans="1:26" ht="13.8" x14ac:dyDescent="0.25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 spans="1:26" ht="13.8" x14ac:dyDescent="0.25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 spans="1:26" ht="13.8" x14ac:dyDescent="0.25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 spans="1:26" ht="13.8" x14ac:dyDescent="0.25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 spans="1:26" ht="13.8" x14ac:dyDescent="0.25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 spans="1:26" ht="13.8" x14ac:dyDescent="0.25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 spans="1:26" ht="13.8" x14ac:dyDescent="0.25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 spans="1:26" ht="13.8" x14ac:dyDescent="0.25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 spans="1:26" ht="13.8" x14ac:dyDescent="0.25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 spans="1:26" ht="13.8" x14ac:dyDescent="0.25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 spans="1:26" ht="13.8" x14ac:dyDescent="0.25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 spans="1:26" ht="13.8" x14ac:dyDescent="0.25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 spans="1:26" ht="13.8" x14ac:dyDescent="0.25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 spans="1:26" ht="13.8" x14ac:dyDescent="0.25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 spans="1:26" ht="13.8" x14ac:dyDescent="0.25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 spans="1:26" ht="13.8" x14ac:dyDescent="0.25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 spans="1:26" ht="13.8" x14ac:dyDescent="0.25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 spans="1:26" ht="13.8" x14ac:dyDescent="0.25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 spans="1:26" ht="13.8" x14ac:dyDescent="0.25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 spans="1:26" ht="13.8" x14ac:dyDescent="0.25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 spans="1:26" ht="13.8" x14ac:dyDescent="0.25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 spans="1:26" ht="13.8" x14ac:dyDescent="0.25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 spans="1:26" ht="13.8" x14ac:dyDescent="0.25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 spans="1:26" ht="13.8" x14ac:dyDescent="0.25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 spans="1:26" ht="13.8" x14ac:dyDescent="0.25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 spans="1:26" ht="13.8" x14ac:dyDescent="0.25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 spans="1:26" ht="13.8" x14ac:dyDescent="0.25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 spans="1:26" ht="13.8" x14ac:dyDescent="0.25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 spans="1:26" ht="13.8" x14ac:dyDescent="0.25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 spans="1:26" ht="13.8" x14ac:dyDescent="0.25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 spans="1:26" ht="13.8" x14ac:dyDescent="0.25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 spans="1:26" ht="13.8" x14ac:dyDescent="0.25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 spans="1:26" ht="13.8" x14ac:dyDescent="0.25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 spans="1:26" ht="13.8" x14ac:dyDescent="0.25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 spans="1:26" ht="13.8" x14ac:dyDescent="0.25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 spans="1:26" ht="13.8" x14ac:dyDescent="0.25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 spans="1:26" ht="13.8" x14ac:dyDescent="0.25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 spans="1:26" ht="13.8" x14ac:dyDescent="0.25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 spans="1:26" ht="13.8" x14ac:dyDescent="0.25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 spans="1:26" ht="13.8" x14ac:dyDescent="0.25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 spans="1:26" ht="13.8" x14ac:dyDescent="0.25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 spans="1:26" ht="13.8" x14ac:dyDescent="0.25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 spans="1:26" ht="13.8" x14ac:dyDescent="0.25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 spans="1:26" ht="13.8" x14ac:dyDescent="0.25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 spans="1:26" ht="13.8" x14ac:dyDescent="0.25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 spans="1:26" ht="13.8" x14ac:dyDescent="0.25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 spans="1:26" ht="13.8" x14ac:dyDescent="0.25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 spans="1:26" ht="13.8" x14ac:dyDescent="0.25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 spans="1:26" ht="13.8" x14ac:dyDescent="0.25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 spans="1:26" ht="13.8" x14ac:dyDescent="0.25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 spans="1:26" ht="13.8" x14ac:dyDescent="0.25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 spans="1:26" ht="13.8" x14ac:dyDescent="0.25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 spans="1:26" ht="13.8" x14ac:dyDescent="0.25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 spans="1:26" ht="13.8" x14ac:dyDescent="0.25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 spans="1:26" ht="13.8" x14ac:dyDescent="0.25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 spans="1:26" ht="13.8" x14ac:dyDescent="0.25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 spans="1:26" ht="13.8" x14ac:dyDescent="0.25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 spans="1:26" ht="13.8" x14ac:dyDescent="0.25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 spans="1:26" ht="13.8" x14ac:dyDescent="0.25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 spans="1:26" ht="13.8" x14ac:dyDescent="0.25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 spans="1:26" ht="13.8" x14ac:dyDescent="0.25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 spans="1:26" ht="13.8" x14ac:dyDescent="0.25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 spans="1:26" ht="13.8" x14ac:dyDescent="0.25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 spans="1:26" ht="13.8" x14ac:dyDescent="0.25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 spans="1:26" ht="13.8" x14ac:dyDescent="0.25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 spans="1:26" ht="13.8" x14ac:dyDescent="0.25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 spans="1:26" ht="13.8" x14ac:dyDescent="0.25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 spans="1:26" ht="13.8" x14ac:dyDescent="0.25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 spans="1:26" ht="13.8" x14ac:dyDescent="0.25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 spans="1:26" ht="13.8" x14ac:dyDescent="0.25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 spans="1:26" ht="13.8" x14ac:dyDescent="0.25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 spans="1:26" ht="13.8" x14ac:dyDescent="0.25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 spans="1:26" ht="13.8" x14ac:dyDescent="0.25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 spans="1:26" ht="13.8" x14ac:dyDescent="0.25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 spans="1:26" ht="13.8" x14ac:dyDescent="0.25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 spans="1:26" ht="13.8" x14ac:dyDescent="0.25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 spans="1:26" ht="13.8" x14ac:dyDescent="0.25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 spans="1:26" ht="13.8" x14ac:dyDescent="0.25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 spans="1:26" ht="13.8" x14ac:dyDescent="0.25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 spans="1:26" ht="13.8" x14ac:dyDescent="0.25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 spans="1:26" ht="13.8" x14ac:dyDescent="0.25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 spans="1:26" ht="13.8" x14ac:dyDescent="0.25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 spans="1:26" ht="13.8" x14ac:dyDescent="0.25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 spans="1:26" ht="13.8" x14ac:dyDescent="0.25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 spans="1:26" ht="13.8" x14ac:dyDescent="0.25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 spans="1:26" ht="13.8" x14ac:dyDescent="0.25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 spans="1:26" ht="13.8" x14ac:dyDescent="0.25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 spans="1:26" ht="13.8" x14ac:dyDescent="0.25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 spans="1:26" ht="13.8" x14ac:dyDescent="0.25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 spans="1:26" ht="13.8" x14ac:dyDescent="0.25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 spans="1:26" ht="13.8" x14ac:dyDescent="0.25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 spans="1:26" ht="13.8" x14ac:dyDescent="0.25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 spans="1:26" ht="13.8" x14ac:dyDescent="0.25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 spans="1:26" ht="13.8" x14ac:dyDescent="0.25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 spans="1:26" ht="13.8" x14ac:dyDescent="0.25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 spans="1:26" ht="13.8" x14ac:dyDescent="0.25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 spans="1:26" ht="13.8" x14ac:dyDescent="0.25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 spans="1:26" ht="13.8" x14ac:dyDescent="0.25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 spans="1:26" ht="13.8" x14ac:dyDescent="0.25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 spans="1:26" ht="13.8" x14ac:dyDescent="0.25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 spans="1:26" ht="13.8" x14ac:dyDescent="0.25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 spans="1:26" ht="13.8" x14ac:dyDescent="0.25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 spans="1:26" ht="13.8" x14ac:dyDescent="0.25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 spans="1:26" ht="13.8" x14ac:dyDescent="0.25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 spans="1:26" ht="13.8" x14ac:dyDescent="0.25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 spans="1:26" ht="13.8" x14ac:dyDescent="0.25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 spans="1:26" ht="13.8" x14ac:dyDescent="0.25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 spans="1:26" ht="13.8" x14ac:dyDescent="0.25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 spans="1:26" ht="13.8" x14ac:dyDescent="0.25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 spans="1:26" ht="13.8" x14ac:dyDescent="0.25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 spans="1:26" ht="13.8" x14ac:dyDescent="0.25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 spans="1:26" ht="13.8" x14ac:dyDescent="0.25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 spans="1:26" ht="13.8" x14ac:dyDescent="0.25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 spans="1:26" ht="13.8" x14ac:dyDescent="0.25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 spans="1:26" ht="13.8" x14ac:dyDescent="0.25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 spans="1:26" ht="13.8" x14ac:dyDescent="0.25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 spans="1:26" ht="13.8" x14ac:dyDescent="0.25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 spans="1:26" ht="13.8" x14ac:dyDescent="0.25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 spans="1:26" ht="13.8" x14ac:dyDescent="0.25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 spans="1:26" ht="13.8" x14ac:dyDescent="0.25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 spans="1:26" ht="13.8" x14ac:dyDescent="0.25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 spans="1:26" ht="13.8" x14ac:dyDescent="0.25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 spans="1:26" ht="13.8" x14ac:dyDescent="0.25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 spans="1:26" ht="13.8" x14ac:dyDescent="0.25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 spans="1:26" ht="13.8" x14ac:dyDescent="0.25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 spans="1:26" ht="13.8" x14ac:dyDescent="0.25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 spans="1:26" ht="13.8" x14ac:dyDescent="0.25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 spans="1:26" ht="13.8" x14ac:dyDescent="0.25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 spans="1:26" ht="13.8" x14ac:dyDescent="0.25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 spans="1:26" ht="13.8" x14ac:dyDescent="0.25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 spans="1:26" ht="13.8" x14ac:dyDescent="0.25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 spans="1:26" ht="13.8" x14ac:dyDescent="0.25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 spans="1:26" ht="13.8" x14ac:dyDescent="0.25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 spans="1:26" ht="13.8" x14ac:dyDescent="0.25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 spans="1:26" ht="13.8" x14ac:dyDescent="0.25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 spans="1:26" ht="13.8" x14ac:dyDescent="0.25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 spans="1:26" ht="13.8" x14ac:dyDescent="0.25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 spans="1:26" ht="13.8" x14ac:dyDescent="0.25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 spans="1:26" ht="13.8" x14ac:dyDescent="0.25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 spans="1:26" ht="13.8" x14ac:dyDescent="0.25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 spans="1:26" ht="13.8" x14ac:dyDescent="0.25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 spans="1:26" ht="13.8" x14ac:dyDescent="0.25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 spans="1:26" ht="13.8" x14ac:dyDescent="0.25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 spans="1:26" ht="13.8" x14ac:dyDescent="0.25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 spans="1:26" ht="13.8" x14ac:dyDescent="0.25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 spans="1:26" ht="13.8" x14ac:dyDescent="0.25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 spans="1:26" ht="13.8" x14ac:dyDescent="0.25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 spans="1:26" ht="13.8" x14ac:dyDescent="0.25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 spans="1:26" ht="13.8" x14ac:dyDescent="0.25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 spans="1:26" ht="13.8" x14ac:dyDescent="0.25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 spans="1:26" ht="13.8" x14ac:dyDescent="0.25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 spans="1:26" ht="13.8" x14ac:dyDescent="0.25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 spans="1:26" ht="13.8" x14ac:dyDescent="0.25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 spans="1:26" ht="13.8" x14ac:dyDescent="0.25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 spans="1:26" ht="13.8" x14ac:dyDescent="0.25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 spans="1:26" ht="13.8" x14ac:dyDescent="0.25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 spans="1:26" ht="13.8" x14ac:dyDescent="0.25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 spans="1:26" ht="13.8" x14ac:dyDescent="0.25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 spans="1:26" ht="13.8" x14ac:dyDescent="0.25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 spans="1:26" ht="13.8" x14ac:dyDescent="0.25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 spans="1:26" ht="13.8" x14ac:dyDescent="0.25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 spans="1:26" ht="13.8" x14ac:dyDescent="0.25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 spans="1:26" ht="13.8" x14ac:dyDescent="0.25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 spans="1:26" ht="13.8" x14ac:dyDescent="0.25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 spans="1:26" ht="13.8" x14ac:dyDescent="0.25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 spans="1:26" ht="13.8" x14ac:dyDescent="0.25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 spans="1:26" ht="13.8" x14ac:dyDescent="0.25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 spans="1:26" ht="13.8" x14ac:dyDescent="0.25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 spans="1:26" ht="13.8" x14ac:dyDescent="0.25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 spans="1:26" ht="13.8" x14ac:dyDescent="0.25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 spans="1:26" ht="13.8" x14ac:dyDescent="0.25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 spans="1:26" ht="13.8" x14ac:dyDescent="0.25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 spans="1:26" ht="13.8" x14ac:dyDescent="0.25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 spans="1:26" ht="13.8" x14ac:dyDescent="0.25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 spans="1:26" ht="13.8" x14ac:dyDescent="0.25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 spans="1:26" ht="13.8" x14ac:dyDescent="0.25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 spans="1:26" ht="13.8" x14ac:dyDescent="0.25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 spans="1:26" ht="13.8" x14ac:dyDescent="0.25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 spans="1:26" ht="13.8" x14ac:dyDescent="0.25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 spans="1:26" ht="13.8" x14ac:dyDescent="0.25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 spans="1:26" ht="13.8" x14ac:dyDescent="0.25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 spans="1:26" ht="13.8" x14ac:dyDescent="0.25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 spans="1:26" ht="13.8" x14ac:dyDescent="0.25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 spans="1:26" ht="13.8" x14ac:dyDescent="0.25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 spans="1:26" ht="13.8" x14ac:dyDescent="0.25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 spans="1:26" ht="13.8" x14ac:dyDescent="0.25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 spans="1:26" ht="13.8" x14ac:dyDescent="0.25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 spans="1:26" ht="13.8" x14ac:dyDescent="0.25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 spans="1:26" ht="13.8" x14ac:dyDescent="0.25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 spans="1:26" ht="13.8" x14ac:dyDescent="0.25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 spans="1:26" ht="13.8" x14ac:dyDescent="0.25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 spans="1:26" ht="13.8" x14ac:dyDescent="0.25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 spans="1:26" ht="13.8" x14ac:dyDescent="0.25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 spans="1:26" ht="13.8" x14ac:dyDescent="0.25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 spans="1:26" ht="13.8" x14ac:dyDescent="0.25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 spans="1:26" ht="13.8" x14ac:dyDescent="0.25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 spans="1:26" ht="13.8" x14ac:dyDescent="0.25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 spans="1:26" ht="13.8" x14ac:dyDescent="0.25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 spans="1:26" ht="13.8" x14ac:dyDescent="0.25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 spans="1:26" ht="13.8" x14ac:dyDescent="0.25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 spans="1:26" ht="13.8" x14ac:dyDescent="0.25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 spans="1:26" ht="13.8" x14ac:dyDescent="0.25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 spans="1:26" ht="13.8" x14ac:dyDescent="0.25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 spans="1:26" ht="13.8" x14ac:dyDescent="0.25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 spans="1:26" ht="13.8" x14ac:dyDescent="0.25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 spans="1:26" ht="13.8" x14ac:dyDescent="0.25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 spans="1:26" ht="13.8" x14ac:dyDescent="0.25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 spans="1:26" ht="13.8" x14ac:dyDescent="0.25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 spans="1:26" ht="13.8" x14ac:dyDescent="0.25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 spans="1:26" ht="13.8" x14ac:dyDescent="0.25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 spans="1:26" ht="13.8" x14ac:dyDescent="0.25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 spans="1:26" ht="13.8" x14ac:dyDescent="0.25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 spans="1:26" ht="13.8" x14ac:dyDescent="0.25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 spans="1:26" ht="13.8" x14ac:dyDescent="0.25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 spans="1:26" ht="13.8" x14ac:dyDescent="0.25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 spans="1:26" ht="13.8" x14ac:dyDescent="0.25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 spans="1:26" ht="13.8" x14ac:dyDescent="0.25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 spans="1:26" ht="13.8" x14ac:dyDescent="0.25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 spans="1:26" ht="13.8" x14ac:dyDescent="0.25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 spans="1:26" ht="13.8" x14ac:dyDescent="0.25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 spans="1:26" ht="13.8" x14ac:dyDescent="0.25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 spans="1:26" ht="13.8" x14ac:dyDescent="0.25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 spans="1:26" ht="13.8" x14ac:dyDescent="0.25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 spans="1:26" ht="13.8" x14ac:dyDescent="0.25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 spans="1:26" ht="13.8" x14ac:dyDescent="0.25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 spans="1:26" ht="13.8" x14ac:dyDescent="0.25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 spans="1:26" ht="13.8" x14ac:dyDescent="0.25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 spans="1:26" ht="13.8" x14ac:dyDescent="0.25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 spans="1:26" ht="13.8" x14ac:dyDescent="0.25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 spans="1:26" ht="13.8" x14ac:dyDescent="0.25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 spans="1:26" ht="13.8" x14ac:dyDescent="0.25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 spans="1:26" ht="13.8" x14ac:dyDescent="0.25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 spans="1:26" ht="13.8" x14ac:dyDescent="0.25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 spans="1:26" ht="13.8" x14ac:dyDescent="0.25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 spans="1:26" ht="13.8" x14ac:dyDescent="0.25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 spans="1:26" ht="13.8" x14ac:dyDescent="0.25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 spans="1:26" ht="13.8" x14ac:dyDescent="0.25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 spans="1:26" ht="13.8" x14ac:dyDescent="0.25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 spans="1:26" ht="13.8" x14ac:dyDescent="0.25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 spans="1:26" ht="13.8" x14ac:dyDescent="0.25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 spans="1:26" ht="13.8" x14ac:dyDescent="0.25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 spans="1:26" ht="13.8" x14ac:dyDescent="0.25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 spans="1:26" ht="13.8" x14ac:dyDescent="0.25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 spans="1:26" ht="13.8" x14ac:dyDescent="0.25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 spans="1:26" ht="13.8" x14ac:dyDescent="0.25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 spans="1:26" ht="13.8" x14ac:dyDescent="0.25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 spans="1:26" ht="13.8" x14ac:dyDescent="0.25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 spans="1:26" ht="13.8" x14ac:dyDescent="0.25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 spans="1:26" ht="13.8" x14ac:dyDescent="0.25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 spans="1:26" ht="13.8" x14ac:dyDescent="0.25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 spans="1:26" ht="13.8" x14ac:dyDescent="0.25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 spans="1:26" ht="13.8" x14ac:dyDescent="0.25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 spans="1:26" ht="13.8" x14ac:dyDescent="0.25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 spans="1:26" ht="13.8" x14ac:dyDescent="0.25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 spans="1:26" ht="13.8" x14ac:dyDescent="0.25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 spans="1:26" ht="13.8" x14ac:dyDescent="0.25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 spans="1:26" ht="13.8" x14ac:dyDescent="0.25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 spans="1:26" ht="13.8" x14ac:dyDescent="0.25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 spans="1:26" ht="13.8" x14ac:dyDescent="0.25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 spans="1:26" ht="13.8" x14ac:dyDescent="0.25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 spans="1:26" ht="13.8" x14ac:dyDescent="0.25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 spans="1:26" ht="13.8" x14ac:dyDescent="0.25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 spans="1:26" ht="13.8" x14ac:dyDescent="0.25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 spans="1:26" ht="13.8" x14ac:dyDescent="0.25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 spans="1:26" ht="13.8" x14ac:dyDescent="0.25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 spans="1:26" ht="13.8" x14ac:dyDescent="0.25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 spans="1:26" ht="13.8" x14ac:dyDescent="0.25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 spans="1:26" ht="13.8" x14ac:dyDescent="0.25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 spans="1:26" ht="13.8" x14ac:dyDescent="0.25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 spans="1:26" ht="13.8" x14ac:dyDescent="0.25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 spans="1:26" ht="13.8" x14ac:dyDescent="0.25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 spans="1:26" ht="13.8" x14ac:dyDescent="0.25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 spans="1:26" ht="13.8" x14ac:dyDescent="0.25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 spans="1:26" ht="13.8" x14ac:dyDescent="0.25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 spans="1:26" ht="13.8" x14ac:dyDescent="0.25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 spans="1:26" ht="13.8" x14ac:dyDescent="0.25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 spans="1:26" ht="13.8" x14ac:dyDescent="0.25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 spans="1:26" ht="13.8" x14ac:dyDescent="0.25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 spans="1:26" ht="13.8" x14ac:dyDescent="0.25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 spans="1:26" ht="13.8" x14ac:dyDescent="0.25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 spans="1:26" ht="13.8" x14ac:dyDescent="0.25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 spans="1:26" ht="13.8" x14ac:dyDescent="0.25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 spans="1:26" ht="13.8" x14ac:dyDescent="0.25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 spans="1:26" ht="13.8" x14ac:dyDescent="0.25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 spans="1:26" ht="13.8" x14ac:dyDescent="0.25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 spans="1:26" ht="13.8" x14ac:dyDescent="0.25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 spans="1:26" ht="13.8" x14ac:dyDescent="0.25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 spans="1:26" ht="13.8" x14ac:dyDescent="0.25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 spans="1:26" ht="13.8" x14ac:dyDescent="0.25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 spans="1:26" ht="13.8" x14ac:dyDescent="0.25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 spans="1:26" ht="13.8" x14ac:dyDescent="0.25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 spans="1:26" ht="13.8" x14ac:dyDescent="0.25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 spans="1:26" ht="13.8" x14ac:dyDescent="0.25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 spans="1:26" ht="13.8" x14ac:dyDescent="0.25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 spans="1:26" ht="13.8" x14ac:dyDescent="0.25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 spans="1:26" ht="13.8" x14ac:dyDescent="0.25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 spans="1:26" ht="13.8" x14ac:dyDescent="0.25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 spans="1:26" ht="13.8" x14ac:dyDescent="0.25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 spans="1:26" ht="13.8" x14ac:dyDescent="0.25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 spans="1:26" ht="13.8" x14ac:dyDescent="0.25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 spans="1:26" ht="13.8" x14ac:dyDescent="0.25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 spans="1:26" ht="13.8" x14ac:dyDescent="0.25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 spans="1:26" ht="13.8" x14ac:dyDescent="0.25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 spans="1:26" ht="13.8" x14ac:dyDescent="0.25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 spans="1:26" ht="13.8" x14ac:dyDescent="0.25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 spans="1:26" ht="13.8" x14ac:dyDescent="0.25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 spans="1:26" ht="13.8" x14ac:dyDescent="0.25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 spans="1:26" ht="13.8" x14ac:dyDescent="0.25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</row>
    <row r="907" spans="1:26" ht="13.8" x14ac:dyDescent="0.25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</row>
    <row r="908" spans="1:26" ht="13.8" x14ac:dyDescent="0.25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</row>
    <row r="909" spans="1:26" ht="13.8" x14ac:dyDescent="0.25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</row>
    <row r="910" spans="1:26" ht="13.8" x14ac:dyDescent="0.25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</row>
    <row r="911" spans="1:26" ht="13.8" x14ac:dyDescent="0.25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</row>
    <row r="912" spans="1:26" ht="13.8" x14ac:dyDescent="0.25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</row>
    <row r="913" spans="1:26" ht="13.8" x14ac:dyDescent="0.25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</row>
    <row r="914" spans="1:26" ht="13.8" x14ac:dyDescent="0.25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</row>
    <row r="915" spans="1:26" ht="13.8" x14ac:dyDescent="0.25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</row>
    <row r="916" spans="1:26" ht="13.8" x14ac:dyDescent="0.25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</row>
    <row r="917" spans="1:26" ht="13.8" x14ac:dyDescent="0.25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</row>
    <row r="918" spans="1:26" ht="13.8" x14ac:dyDescent="0.25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</row>
    <row r="919" spans="1:26" ht="13.8" x14ac:dyDescent="0.25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</row>
    <row r="920" spans="1:26" ht="13.8" x14ac:dyDescent="0.25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</row>
    <row r="921" spans="1:26" ht="13.8" x14ac:dyDescent="0.25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</row>
    <row r="922" spans="1:26" ht="13.8" x14ac:dyDescent="0.25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</row>
    <row r="923" spans="1:26" ht="13.8" x14ac:dyDescent="0.25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</row>
    <row r="924" spans="1:26" ht="13.8" x14ac:dyDescent="0.25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</row>
    <row r="925" spans="1:26" ht="13.8" x14ac:dyDescent="0.25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</row>
    <row r="926" spans="1:26" ht="13.8" x14ac:dyDescent="0.25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</row>
    <row r="927" spans="1:26" ht="13.8" x14ac:dyDescent="0.25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</row>
    <row r="928" spans="1:26" ht="13.8" x14ac:dyDescent="0.25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</row>
    <row r="929" spans="1:26" ht="13.8" x14ac:dyDescent="0.25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</row>
    <row r="930" spans="1:26" ht="13.8" x14ac:dyDescent="0.25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</row>
    <row r="931" spans="1:26" ht="13.8" x14ac:dyDescent="0.25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</row>
    <row r="932" spans="1:26" ht="13.8" x14ac:dyDescent="0.25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</row>
    <row r="933" spans="1:26" ht="13.8" x14ac:dyDescent="0.25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</row>
    <row r="934" spans="1:26" ht="13.8" x14ac:dyDescent="0.25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</row>
    <row r="935" spans="1:26" ht="13.8" x14ac:dyDescent="0.25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</row>
    <row r="936" spans="1:26" ht="13.8" x14ac:dyDescent="0.25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</row>
    <row r="937" spans="1:26" ht="13.8" x14ac:dyDescent="0.25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</row>
    <row r="938" spans="1:26" ht="13.8" x14ac:dyDescent="0.25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</row>
    <row r="939" spans="1:26" ht="13.8" x14ac:dyDescent="0.25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</row>
    <row r="940" spans="1:26" ht="13.8" x14ac:dyDescent="0.25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</row>
    <row r="941" spans="1:26" ht="13.8" x14ac:dyDescent="0.25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</row>
    <row r="942" spans="1:26" ht="13.8" x14ac:dyDescent="0.25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</row>
    <row r="943" spans="1:26" ht="13.8" x14ac:dyDescent="0.25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</row>
    <row r="944" spans="1:26" ht="13.8" x14ac:dyDescent="0.25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</row>
    <row r="945" spans="1:26" ht="13.8" x14ac:dyDescent="0.25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</row>
    <row r="946" spans="1:26" ht="13.8" x14ac:dyDescent="0.25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</row>
    <row r="947" spans="1:26" ht="13.8" x14ac:dyDescent="0.25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</row>
    <row r="948" spans="1:26" ht="13.8" x14ac:dyDescent="0.25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</row>
    <row r="949" spans="1:26" ht="13.8" x14ac:dyDescent="0.25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</row>
    <row r="950" spans="1:26" ht="13.8" x14ac:dyDescent="0.25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</row>
    <row r="951" spans="1:26" ht="13.8" x14ac:dyDescent="0.25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</row>
    <row r="952" spans="1:26" ht="13.8" x14ac:dyDescent="0.25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</row>
    <row r="953" spans="1:26" ht="13.8" x14ac:dyDescent="0.25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</row>
    <row r="954" spans="1:26" ht="13.8" x14ac:dyDescent="0.25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</row>
    <row r="955" spans="1:26" ht="13.8" x14ac:dyDescent="0.25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</row>
    <row r="956" spans="1:26" ht="13.8" x14ac:dyDescent="0.25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</row>
    <row r="957" spans="1:26" ht="13.8" x14ac:dyDescent="0.25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</row>
    <row r="958" spans="1:26" ht="13.8" x14ac:dyDescent="0.25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</row>
    <row r="959" spans="1:26" ht="13.8" x14ac:dyDescent="0.25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</row>
    <row r="960" spans="1:26" ht="13.8" x14ac:dyDescent="0.25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</row>
    <row r="961" spans="1:26" ht="13.8" x14ac:dyDescent="0.25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</row>
    <row r="962" spans="1:26" ht="13.8" x14ac:dyDescent="0.25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</row>
    <row r="963" spans="1:26" ht="13.8" x14ac:dyDescent="0.25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</row>
    <row r="964" spans="1:26" ht="13.8" x14ac:dyDescent="0.25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</row>
    <row r="965" spans="1:26" ht="13.8" x14ac:dyDescent="0.25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</row>
    <row r="966" spans="1:26" ht="13.8" x14ac:dyDescent="0.25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</row>
    <row r="967" spans="1:26" ht="13.8" x14ac:dyDescent="0.25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</row>
    <row r="968" spans="1:26" ht="13.8" x14ac:dyDescent="0.25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</row>
    <row r="969" spans="1:26" ht="13.8" x14ac:dyDescent="0.25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</row>
    <row r="970" spans="1:26" ht="13.8" x14ac:dyDescent="0.25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</row>
    <row r="971" spans="1:26" ht="13.8" x14ac:dyDescent="0.25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</row>
    <row r="972" spans="1:26" ht="13.8" x14ac:dyDescent="0.25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</row>
    <row r="973" spans="1:26" ht="13.8" x14ac:dyDescent="0.25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</row>
    <row r="974" spans="1:26" ht="13.8" x14ac:dyDescent="0.25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</row>
    <row r="975" spans="1:26" ht="13.8" x14ac:dyDescent="0.25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</row>
    <row r="976" spans="1:26" ht="13.8" x14ac:dyDescent="0.25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</row>
    <row r="977" spans="1:26" ht="13.8" x14ac:dyDescent="0.25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</row>
    <row r="978" spans="1:26" ht="13.8" x14ac:dyDescent="0.25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</row>
    <row r="979" spans="1:26" ht="13.8" x14ac:dyDescent="0.25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</row>
    <row r="980" spans="1:26" ht="13.8" x14ac:dyDescent="0.25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</row>
    <row r="981" spans="1:26" ht="13.8" x14ac:dyDescent="0.25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</row>
    <row r="982" spans="1:26" ht="13.8" x14ac:dyDescent="0.25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</row>
    <row r="983" spans="1:26" ht="13.8" x14ac:dyDescent="0.25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</row>
    <row r="984" spans="1:26" ht="13.8" x14ac:dyDescent="0.25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</row>
    <row r="985" spans="1:26" ht="13.8" x14ac:dyDescent="0.25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</row>
    <row r="986" spans="1:26" ht="13.8" x14ac:dyDescent="0.25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</row>
    <row r="987" spans="1:26" ht="13.8" x14ac:dyDescent="0.25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</row>
    <row r="988" spans="1:26" ht="13.8" x14ac:dyDescent="0.25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</row>
    <row r="989" spans="1:26" ht="13.8" x14ac:dyDescent="0.25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</row>
    <row r="990" spans="1:26" ht="13.8" x14ac:dyDescent="0.25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</row>
    <row r="991" spans="1:26" ht="13.8" x14ac:dyDescent="0.25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</row>
    <row r="992" spans="1:26" ht="13.8" x14ac:dyDescent="0.25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</row>
    <row r="993" spans="1:26" ht="13.8" x14ac:dyDescent="0.25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</row>
    <row r="994" spans="1:26" ht="13.8" x14ac:dyDescent="0.25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</row>
    <row r="995" spans="1:26" ht="13.8" x14ac:dyDescent="0.25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</row>
    <row r="996" spans="1:26" ht="13.8" x14ac:dyDescent="0.25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</row>
    <row r="997" spans="1:26" ht="13.8" x14ac:dyDescent="0.25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</row>
    <row r="998" spans="1:26" ht="13.8" x14ac:dyDescent="0.25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</row>
    <row r="999" spans="1:26" ht="13.8" x14ac:dyDescent="0.25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</row>
    <row r="1000" spans="1:26" ht="13.8" x14ac:dyDescent="0.25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48576"/>
  <sheetViews>
    <sheetView zoomScaleNormal="100" workbookViewId="0">
      <selection activeCell="D28" sqref="D28"/>
    </sheetView>
  </sheetViews>
  <sheetFormatPr defaultColWidth="12.6640625" defaultRowHeight="13.2" x14ac:dyDescent="0.25"/>
  <cols>
    <col min="1" max="1" width="9.88671875" style="164" bestFit="1" customWidth="1"/>
    <col min="2" max="2" width="14.77734375" style="164" bestFit="1" customWidth="1"/>
    <col min="3" max="3" width="16" style="164" bestFit="1" customWidth="1"/>
    <col min="4" max="4" width="31.33203125" style="164" bestFit="1" customWidth="1"/>
    <col min="5" max="10" width="12.6640625" style="164"/>
    <col min="11" max="11" width="9.88671875" style="164" bestFit="1" customWidth="1"/>
    <col min="12" max="12" width="15.88671875" style="164" bestFit="1" customWidth="1"/>
    <col min="13" max="13" width="16" style="164" bestFit="1" customWidth="1"/>
    <col min="14" max="16" width="12.6640625" style="164"/>
    <col min="17" max="17" width="17.21875" style="164" customWidth="1"/>
    <col min="18" max="16384" width="12.6640625" style="164"/>
  </cols>
  <sheetData>
    <row r="1" spans="1:26" ht="13.8" x14ac:dyDescent="0.25">
      <c r="A1" s="158" t="s">
        <v>10</v>
      </c>
      <c r="B1" s="159" t="s">
        <v>15</v>
      </c>
      <c r="C1" s="159" t="s">
        <v>19</v>
      </c>
      <c r="D1" s="160"/>
      <c r="E1" s="160"/>
      <c r="F1" s="160"/>
      <c r="G1" s="160"/>
      <c r="H1" s="161"/>
      <c r="I1" s="162"/>
      <c r="J1" s="162"/>
      <c r="K1" s="158" t="s">
        <v>10</v>
      </c>
      <c r="L1" s="159" t="s">
        <v>17</v>
      </c>
      <c r="M1" s="159" t="s">
        <v>19</v>
      </c>
      <c r="N1" s="162"/>
      <c r="O1" s="160"/>
      <c r="P1" s="160"/>
      <c r="Q1" s="160"/>
      <c r="R1" s="160"/>
      <c r="S1" s="160"/>
      <c r="T1" s="160"/>
      <c r="U1" s="160" t="s">
        <v>20</v>
      </c>
      <c r="V1" s="163">
        <v>0.06</v>
      </c>
      <c r="W1" s="160"/>
      <c r="X1" s="160"/>
      <c r="Y1" s="160"/>
      <c r="Z1" s="160"/>
    </row>
    <row r="2" spans="1:26" ht="13.8" x14ac:dyDescent="0.25">
      <c r="A2" s="165">
        <v>43009</v>
      </c>
      <c r="B2" s="166">
        <v>662.1</v>
      </c>
      <c r="C2" s="167"/>
      <c r="D2" s="160"/>
      <c r="E2" s="160"/>
      <c r="F2" s="160"/>
      <c r="G2" s="160"/>
      <c r="H2" s="168"/>
      <c r="I2" s="169"/>
      <c r="J2" s="163"/>
      <c r="K2" s="165">
        <v>43009</v>
      </c>
      <c r="L2" s="166">
        <v>10335.299999999999</v>
      </c>
      <c r="M2" s="170"/>
      <c r="N2" s="163"/>
      <c r="O2" s="160"/>
      <c r="P2" s="171" t="s">
        <v>34</v>
      </c>
      <c r="Q2" s="171">
        <f>_xlfn.COVARIANCE.S(C3:C106,M3:M106)</f>
        <v>2.2309396824600385E-3</v>
      </c>
      <c r="R2" s="160"/>
      <c r="S2" s="160"/>
      <c r="T2" s="160"/>
      <c r="U2" s="160" t="s">
        <v>22</v>
      </c>
      <c r="V2" s="163">
        <v>0.15</v>
      </c>
      <c r="W2" s="160"/>
      <c r="X2" s="160"/>
      <c r="Y2" s="160"/>
      <c r="Z2" s="160"/>
    </row>
    <row r="3" spans="1:26" ht="13.8" x14ac:dyDescent="0.25">
      <c r="A3" s="165">
        <v>43040</v>
      </c>
      <c r="B3" s="166">
        <v>654.9</v>
      </c>
      <c r="C3" s="170">
        <f t="shared" ref="C3:C34" si="0">B3/B2-1</f>
        <v>-1.0874490258269254E-2</v>
      </c>
      <c r="D3" s="172" t="s">
        <v>23</v>
      </c>
      <c r="E3" s="173">
        <f>AVERAGE(C3:C106)</f>
        <v>1.2357146587978417E-2</v>
      </c>
      <c r="F3" s="160"/>
      <c r="G3" s="160"/>
      <c r="H3" s="168"/>
      <c r="I3" s="169"/>
      <c r="J3" s="163"/>
      <c r="K3" s="165">
        <v>43040</v>
      </c>
      <c r="L3" s="166">
        <v>10226.549999999999</v>
      </c>
      <c r="M3" s="170">
        <f t="shared" ref="M3:M34" si="1">L3/L2-1</f>
        <v>-1.0522190937853781E-2</v>
      </c>
      <c r="N3" s="163"/>
      <c r="O3" s="160"/>
      <c r="P3" s="171" t="s">
        <v>24</v>
      </c>
      <c r="Q3" s="171">
        <f>_xlfn.VAR.S(M3:M106)</f>
        <v>2.3768482276086546E-3</v>
      </c>
      <c r="R3" s="160"/>
      <c r="S3" s="160"/>
      <c r="T3" s="160"/>
      <c r="U3" s="160"/>
      <c r="V3" s="160"/>
      <c r="W3" s="160"/>
      <c r="X3" s="160"/>
      <c r="Y3" s="160"/>
      <c r="Z3" s="160"/>
    </row>
    <row r="4" spans="1:26" ht="13.8" x14ac:dyDescent="0.25">
      <c r="A4" s="165">
        <v>43070</v>
      </c>
      <c r="B4" s="166">
        <v>695.35</v>
      </c>
      <c r="C4" s="170">
        <f t="shared" si="0"/>
        <v>6.1765154985494064E-2</v>
      </c>
      <c r="D4" s="172" t="s">
        <v>25</v>
      </c>
      <c r="E4" s="172">
        <f>E3*12</f>
        <v>0.14828575905574101</v>
      </c>
      <c r="F4" s="160"/>
      <c r="G4" s="160"/>
      <c r="H4" s="168"/>
      <c r="I4" s="169"/>
      <c r="J4" s="163"/>
      <c r="K4" s="165">
        <v>43070</v>
      </c>
      <c r="L4" s="166">
        <v>10530.7</v>
      </c>
      <c r="M4" s="170">
        <f t="shared" si="1"/>
        <v>2.9741212823484187E-2</v>
      </c>
      <c r="N4" s="163"/>
      <c r="O4" s="160"/>
      <c r="P4" s="171" t="s">
        <v>26</v>
      </c>
      <c r="Q4" s="171">
        <f>Q2/Q3</f>
        <v>0.93861259484144066</v>
      </c>
      <c r="R4" s="160"/>
      <c r="S4" s="160"/>
      <c r="T4" s="160"/>
      <c r="U4" s="160"/>
      <c r="V4" s="160"/>
      <c r="W4" s="160"/>
      <c r="X4" s="160"/>
      <c r="Y4" s="160"/>
      <c r="Z4" s="160"/>
    </row>
    <row r="5" spans="1:26" ht="13.8" x14ac:dyDescent="0.25">
      <c r="A5" s="165">
        <v>43101</v>
      </c>
      <c r="B5" s="166">
        <v>660.65</v>
      </c>
      <c r="C5" s="170">
        <f t="shared" si="0"/>
        <v>-4.9902926583734852E-2</v>
      </c>
      <c r="D5" s="172" t="s">
        <v>27</v>
      </c>
      <c r="E5" s="172">
        <f>_xlfn.STDEV.S(C3:C106)</f>
        <v>7.4865308694383723E-2</v>
      </c>
      <c r="F5" s="160"/>
      <c r="G5" s="160"/>
      <c r="H5" s="168"/>
      <c r="I5" s="169"/>
      <c r="J5" s="163"/>
      <c r="K5" s="165">
        <v>43101</v>
      </c>
      <c r="L5" s="166">
        <v>11027.7</v>
      </c>
      <c r="M5" s="170">
        <f t="shared" si="1"/>
        <v>4.7195343139582402E-2</v>
      </c>
      <c r="N5" s="163"/>
      <c r="O5" s="160"/>
      <c r="P5" s="171" t="s">
        <v>28</v>
      </c>
      <c r="Q5" s="171">
        <f>SLOPE(C3:C106,M3:M106)</f>
        <v>0.93861259484144044</v>
      </c>
      <c r="R5" s="160"/>
      <c r="S5" s="160"/>
      <c r="T5" s="160"/>
      <c r="U5" s="160"/>
      <c r="V5" s="160"/>
      <c r="W5" s="160"/>
      <c r="X5" s="160"/>
      <c r="Y5" s="160"/>
      <c r="Z5" s="160"/>
    </row>
    <row r="6" spans="1:26" ht="13.8" x14ac:dyDescent="0.25">
      <c r="A6" s="165">
        <v>43132</v>
      </c>
      <c r="B6" s="166">
        <v>694.5</v>
      </c>
      <c r="C6" s="170">
        <f t="shared" si="0"/>
        <v>5.1237417694694587E-2</v>
      </c>
      <c r="D6" s="172" t="s">
        <v>29</v>
      </c>
      <c r="E6" s="172">
        <f>E5*SQRT(12)</f>
        <v>0.25934103676600123</v>
      </c>
      <c r="F6" s="160"/>
      <c r="G6" s="160"/>
      <c r="H6" s="168"/>
      <c r="I6" s="169"/>
      <c r="J6" s="163"/>
      <c r="K6" s="165">
        <v>43132</v>
      </c>
      <c r="L6" s="166">
        <v>10492.85</v>
      </c>
      <c r="M6" s="170">
        <f t="shared" si="1"/>
        <v>-4.8500593958849092E-2</v>
      </c>
      <c r="N6" s="163"/>
      <c r="O6" s="160"/>
      <c r="P6" s="171"/>
      <c r="Q6" s="171"/>
      <c r="R6" s="160"/>
      <c r="S6" s="160"/>
      <c r="T6" s="160"/>
      <c r="U6" s="160"/>
      <c r="V6" s="160"/>
      <c r="W6" s="160"/>
      <c r="X6" s="160"/>
      <c r="Y6" s="160"/>
      <c r="Z6" s="160"/>
    </row>
    <row r="7" spans="1:26" ht="13.8" x14ac:dyDescent="0.25">
      <c r="A7" s="165">
        <v>43160</v>
      </c>
      <c r="B7" s="166">
        <v>678.25</v>
      </c>
      <c r="C7" s="170">
        <f t="shared" si="0"/>
        <v>-2.3398128149748065E-2</v>
      </c>
      <c r="D7" s="160"/>
      <c r="E7" s="160"/>
      <c r="F7" s="160"/>
      <c r="G7" s="160"/>
      <c r="H7" s="168"/>
      <c r="I7" s="169"/>
      <c r="J7" s="163"/>
      <c r="K7" s="165">
        <v>43160</v>
      </c>
      <c r="L7" s="166">
        <v>10113.700000000001</v>
      </c>
      <c r="M7" s="170">
        <f t="shared" si="1"/>
        <v>-3.6134129430993478E-2</v>
      </c>
      <c r="N7" s="163"/>
      <c r="O7" s="160"/>
      <c r="P7" s="171" t="s">
        <v>30</v>
      </c>
      <c r="Q7" s="171">
        <f>CORREL(C3:C106,M3:M106)</f>
        <v>0.61123256358973921</v>
      </c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3.8" x14ac:dyDescent="0.25">
      <c r="A8" s="165">
        <v>43191</v>
      </c>
      <c r="B8" s="166">
        <v>743.1</v>
      </c>
      <c r="C8" s="170">
        <f t="shared" si="0"/>
        <v>9.5613711758201214E-2</v>
      </c>
      <c r="D8" s="160"/>
      <c r="E8" s="160"/>
      <c r="F8" s="160"/>
      <c r="G8" s="160"/>
      <c r="H8" s="168"/>
      <c r="I8" s="169"/>
      <c r="J8" s="163"/>
      <c r="K8" s="165">
        <v>43191</v>
      </c>
      <c r="L8" s="166">
        <v>10739.35</v>
      </c>
      <c r="M8" s="170">
        <f t="shared" si="1"/>
        <v>6.1861633230172908E-2</v>
      </c>
      <c r="N8" s="163"/>
      <c r="O8" s="160"/>
      <c r="P8" s="171" t="s">
        <v>31</v>
      </c>
      <c r="Q8" s="174">
        <f>V1+Q4*(V2-V1)</f>
        <v>0.14447513353572966</v>
      </c>
      <c r="R8" s="160"/>
      <c r="S8" s="160"/>
      <c r="T8" s="160"/>
      <c r="U8" s="160"/>
      <c r="V8" s="160"/>
      <c r="W8" s="160"/>
      <c r="X8" s="160"/>
      <c r="Y8" s="160"/>
      <c r="Z8" s="160"/>
    </row>
    <row r="9" spans="1:26" ht="13.8" x14ac:dyDescent="0.25">
      <c r="A9" s="175">
        <v>43221</v>
      </c>
      <c r="B9" s="166">
        <v>689.8</v>
      </c>
      <c r="C9" s="170">
        <f t="shared" si="0"/>
        <v>-7.1726550935271249E-2</v>
      </c>
      <c r="D9" s="160"/>
      <c r="E9" s="160"/>
      <c r="F9" s="160"/>
      <c r="G9" s="160"/>
      <c r="H9" s="176"/>
      <c r="I9" s="169"/>
      <c r="J9" s="163"/>
      <c r="K9" s="175">
        <v>43221</v>
      </c>
      <c r="L9" s="166">
        <v>10736.15</v>
      </c>
      <c r="M9" s="170">
        <f t="shared" si="1"/>
        <v>-2.9796961641070929E-4</v>
      </c>
      <c r="N9" s="163"/>
      <c r="O9" s="160"/>
      <c r="P9" s="171" t="s">
        <v>32</v>
      </c>
      <c r="Q9" s="171">
        <f>(E4-V1)/E6</f>
        <v>0.34042340601653287</v>
      </c>
      <c r="R9" s="160"/>
      <c r="S9" s="160"/>
      <c r="T9" s="160"/>
      <c r="U9" s="160"/>
      <c r="V9" s="160"/>
      <c r="W9" s="160"/>
      <c r="X9" s="160"/>
      <c r="Y9" s="160"/>
      <c r="Z9" s="160"/>
    </row>
    <row r="10" spans="1:26" ht="13.8" x14ac:dyDescent="0.25">
      <c r="A10" s="165">
        <v>43252</v>
      </c>
      <c r="B10" s="166">
        <v>674.35</v>
      </c>
      <c r="C10" s="170">
        <f t="shared" si="0"/>
        <v>-2.2397796462742758E-2</v>
      </c>
      <c r="D10" s="160"/>
      <c r="E10" s="160"/>
      <c r="F10" s="160"/>
      <c r="G10" s="160"/>
      <c r="H10" s="168"/>
      <c r="I10" s="169"/>
      <c r="J10" s="163"/>
      <c r="K10" s="165">
        <v>43252</v>
      </c>
      <c r="L10" s="166">
        <v>10714.3</v>
      </c>
      <c r="M10" s="170">
        <f t="shared" si="1"/>
        <v>-2.0351802089203508E-3</v>
      </c>
      <c r="N10" s="163"/>
      <c r="O10" s="160"/>
      <c r="P10" s="171" t="s">
        <v>33</v>
      </c>
      <c r="Q10" s="171">
        <f>(E4-V1)/Q4</f>
        <v>9.4059849123008077E-2</v>
      </c>
      <c r="R10" s="160"/>
      <c r="S10" s="160"/>
      <c r="T10" s="160"/>
      <c r="U10" s="160"/>
      <c r="V10" s="160"/>
      <c r="W10" s="160"/>
      <c r="X10" s="160"/>
      <c r="Y10" s="160"/>
      <c r="Z10" s="160"/>
    </row>
    <row r="11" spans="1:26" ht="13.8" x14ac:dyDescent="0.25">
      <c r="A11" s="165">
        <v>43282</v>
      </c>
      <c r="B11" s="166">
        <v>686</v>
      </c>
      <c r="C11" s="170">
        <f t="shared" si="0"/>
        <v>1.727589530659146E-2</v>
      </c>
      <c r="D11" s="160"/>
      <c r="E11" s="160"/>
      <c r="F11" s="160"/>
      <c r="G11" s="160"/>
      <c r="H11" s="168"/>
      <c r="I11" s="169"/>
      <c r="J11" s="163"/>
      <c r="K11" s="165">
        <v>43282</v>
      </c>
      <c r="L11" s="166">
        <v>11356.5</v>
      </c>
      <c r="M11" s="170">
        <f t="shared" si="1"/>
        <v>5.9938586748551126E-2</v>
      </c>
      <c r="N11" s="163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</row>
    <row r="12" spans="1:26" ht="13.8" x14ac:dyDescent="0.25">
      <c r="A12" s="165">
        <v>43313</v>
      </c>
      <c r="B12" s="166">
        <v>672.4</v>
      </c>
      <c r="C12" s="170">
        <f t="shared" si="0"/>
        <v>-1.9825072886297423E-2</v>
      </c>
      <c r="D12" s="160"/>
      <c r="E12" s="160"/>
      <c r="F12" s="160"/>
      <c r="G12" s="160"/>
      <c r="H12" s="168"/>
      <c r="I12" s="169"/>
      <c r="J12" s="163"/>
      <c r="K12" s="165">
        <v>43313</v>
      </c>
      <c r="L12" s="166">
        <v>11680.5</v>
      </c>
      <c r="M12" s="170">
        <f t="shared" si="1"/>
        <v>2.8529916787742637E-2</v>
      </c>
      <c r="N12" s="163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</row>
    <row r="13" spans="1:26" ht="13.8" x14ac:dyDescent="0.25">
      <c r="A13" s="165">
        <v>43344</v>
      </c>
      <c r="B13" s="166">
        <v>511.6</v>
      </c>
      <c r="C13" s="170">
        <f t="shared" si="0"/>
        <v>-0.23914336704342642</v>
      </c>
      <c r="D13" s="160"/>
      <c r="E13" s="160"/>
      <c r="F13" s="160"/>
      <c r="G13" s="160"/>
      <c r="H13" s="168"/>
      <c r="I13" s="169"/>
      <c r="J13" s="163"/>
      <c r="K13" s="165">
        <v>43344</v>
      </c>
      <c r="L13" s="166">
        <v>10930.45</v>
      </c>
      <c r="M13" s="170">
        <f t="shared" si="1"/>
        <v>-6.42138607080176E-2</v>
      </c>
      <c r="N13" s="163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</row>
    <row r="14" spans="1:26" ht="13.8" x14ac:dyDescent="0.25">
      <c r="A14" s="165">
        <v>43374</v>
      </c>
      <c r="B14" s="166">
        <v>560.4</v>
      </c>
      <c r="C14" s="170">
        <f t="shared" si="0"/>
        <v>9.5387021110242332E-2</v>
      </c>
      <c r="D14" s="160"/>
      <c r="E14" s="160"/>
      <c r="F14" s="160"/>
      <c r="G14" s="160"/>
      <c r="H14" s="168"/>
      <c r="I14" s="169"/>
      <c r="J14" s="163"/>
      <c r="K14" s="165">
        <v>43374</v>
      </c>
      <c r="L14" s="166">
        <v>10386.6</v>
      </c>
      <c r="M14" s="170">
        <f t="shared" si="1"/>
        <v>-4.975549954484948E-2</v>
      </c>
      <c r="N14" s="163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</row>
    <row r="15" spans="1:26" ht="13.8" x14ac:dyDescent="0.25">
      <c r="A15" s="165">
        <v>43405</v>
      </c>
      <c r="B15" s="166">
        <v>571.4</v>
      </c>
      <c r="C15" s="170">
        <f t="shared" si="0"/>
        <v>1.9628836545324768E-2</v>
      </c>
      <c r="D15" s="160"/>
      <c r="E15" s="160"/>
      <c r="F15" s="160"/>
      <c r="G15" s="160"/>
      <c r="H15" s="168"/>
      <c r="I15" s="169"/>
      <c r="J15" s="163"/>
      <c r="K15" s="165">
        <v>43405</v>
      </c>
      <c r="L15" s="166">
        <v>10876.75</v>
      </c>
      <c r="M15" s="170">
        <f t="shared" si="1"/>
        <v>4.7190610979531256E-2</v>
      </c>
      <c r="N15" s="163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</row>
    <row r="16" spans="1:26" ht="13.8" x14ac:dyDescent="0.25">
      <c r="A16" s="165">
        <v>43435</v>
      </c>
      <c r="B16" s="166">
        <v>597.85</v>
      </c>
      <c r="C16" s="170">
        <f t="shared" si="0"/>
        <v>4.6289814490724668E-2</v>
      </c>
      <c r="D16" s="160"/>
      <c r="E16" s="160"/>
      <c r="F16" s="160"/>
      <c r="G16" s="160"/>
      <c r="H16" s="168"/>
      <c r="I16" s="169"/>
      <c r="J16" s="163"/>
      <c r="K16" s="165">
        <v>43435</v>
      </c>
      <c r="L16" s="166">
        <v>10862.55</v>
      </c>
      <c r="M16" s="170">
        <f t="shared" si="1"/>
        <v>-1.3055370400165689E-3</v>
      </c>
      <c r="N16" s="163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</row>
    <row r="17" spans="1:26" ht="13.8" x14ac:dyDescent="0.25">
      <c r="A17" s="165">
        <v>43466</v>
      </c>
      <c r="B17" s="166">
        <v>595</v>
      </c>
      <c r="C17" s="170">
        <f t="shared" si="0"/>
        <v>-4.7670820439910111E-3</v>
      </c>
      <c r="D17" s="160"/>
      <c r="E17" s="160"/>
      <c r="F17" s="160"/>
      <c r="G17" s="160"/>
      <c r="H17" s="168"/>
      <c r="I17" s="169"/>
      <c r="J17" s="163"/>
      <c r="K17" s="165">
        <v>43466</v>
      </c>
      <c r="L17" s="166">
        <v>10830.95</v>
      </c>
      <c r="M17" s="170">
        <f t="shared" si="1"/>
        <v>-2.909077518630343E-3</v>
      </c>
      <c r="N17" s="163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</row>
    <row r="18" spans="1:26" ht="13.8" x14ac:dyDescent="0.25">
      <c r="A18" s="165">
        <v>43497</v>
      </c>
      <c r="B18" s="166">
        <v>578.54999999999995</v>
      </c>
      <c r="C18" s="170">
        <f t="shared" si="0"/>
        <v>-2.7647058823529469E-2</v>
      </c>
      <c r="D18" s="160"/>
      <c r="E18" s="160"/>
      <c r="F18" s="160"/>
      <c r="G18" s="160"/>
      <c r="H18" s="168"/>
      <c r="I18" s="169"/>
      <c r="J18" s="163"/>
      <c r="K18" s="165">
        <v>43497</v>
      </c>
      <c r="L18" s="166">
        <v>10792.5</v>
      </c>
      <c r="M18" s="170">
        <f t="shared" si="1"/>
        <v>-3.5500117718206825E-3</v>
      </c>
      <c r="N18" s="163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</row>
    <row r="19" spans="1:26" ht="13.8" x14ac:dyDescent="0.25">
      <c r="A19" s="165">
        <v>43525</v>
      </c>
      <c r="B19" s="166">
        <v>583.4</v>
      </c>
      <c r="C19" s="170">
        <f t="shared" si="0"/>
        <v>8.383026531846971E-3</v>
      </c>
      <c r="D19" s="160"/>
      <c r="E19" s="160"/>
      <c r="F19" s="160"/>
      <c r="G19" s="160"/>
      <c r="H19" s="168"/>
      <c r="I19" s="169"/>
      <c r="J19" s="163"/>
      <c r="K19" s="165">
        <v>43525</v>
      </c>
      <c r="L19" s="166">
        <v>11623.9</v>
      </c>
      <c r="M19" s="170">
        <f t="shared" si="1"/>
        <v>7.7034977993977183E-2</v>
      </c>
      <c r="N19" s="163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</row>
    <row r="20" spans="1:26" ht="13.8" x14ac:dyDescent="0.25">
      <c r="A20" s="165">
        <v>43556</v>
      </c>
      <c r="B20" s="166">
        <v>639.85</v>
      </c>
      <c r="C20" s="170">
        <f t="shared" si="0"/>
        <v>9.6760370243400784E-2</v>
      </c>
      <c r="D20" s="160"/>
      <c r="E20" s="160"/>
      <c r="F20" s="160"/>
      <c r="G20" s="160"/>
      <c r="H20" s="168"/>
      <c r="I20" s="169"/>
      <c r="J20" s="163"/>
      <c r="K20" s="165">
        <v>43556</v>
      </c>
      <c r="L20" s="166">
        <v>11748.15</v>
      </c>
      <c r="M20" s="170">
        <f t="shared" si="1"/>
        <v>1.0689183492631482E-2</v>
      </c>
      <c r="N20" s="163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</row>
    <row r="21" spans="1:26" ht="13.8" x14ac:dyDescent="0.25">
      <c r="A21" s="175">
        <v>43586</v>
      </c>
      <c r="B21" s="166">
        <v>694.25</v>
      </c>
      <c r="C21" s="170">
        <f t="shared" si="0"/>
        <v>8.5019926545284008E-2</v>
      </c>
      <c r="D21" s="160"/>
      <c r="E21" s="160"/>
      <c r="F21" s="160"/>
      <c r="G21" s="160"/>
      <c r="H21" s="176"/>
      <c r="I21" s="169"/>
      <c r="J21" s="163"/>
      <c r="K21" s="175">
        <v>43586</v>
      </c>
      <c r="L21" s="166">
        <v>11922.8</v>
      </c>
      <c r="M21" s="170">
        <f t="shared" si="1"/>
        <v>1.4866170418321056E-2</v>
      </c>
      <c r="N21" s="163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</row>
    <row r="22" spans="1:26" ht="13.8" x14ac:dyDescent="0.25">
      <c r="A22" s="165">
        <v>43617</v>
      </c>
      <c r="B22" s="166">
        <v>723.7</v>
      </c>
      <c r="C22" s="170">
        <f t="shared" si="0"/>
        <v>4.2419877565718522E-2</v>
      </c>
      <c r="D22" s="160"/>
      <c r="E22" s="160"/>
      <c r="F22" s="160"/>
      <c r="G22" s="160"/>
      <c r="H22" s="168"/>
      <c r="I22" s="169"/>
      <c r="J22" s="163"/>
      <c r="K22" s="165">
        <v>43617</v>
      </c>
      <c r="L22" s="166">
        <v>11788.85</v>
      </c>
      <c r="M22" s="170">
        <f t="shared" si="1"/>
        <v>-1.1234777065789792E-2</v>
      </c>
      <c r="N22" s="163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</row>
    <row r="23" spans="1:26" ht="13.8" x14ac:dyDescent="0.25">
      <c r="A23" s="165">
        <v>43647</v>
      </c>
      <c r="B23" s="166">
        <v>797.55</v>
      </c>
      <c r="C23" s="170">
        <f t="shared" si="0"/>
        <v>0.10204504628989897</v>
      </c>
      <c r="D23" s="160"/>
      <c r="E23" s="160"/>
      <c r="F23" s="160"/>
      <c r="G23" s="160"/>
      <c r="H23" s="168"/>
      <c r="I23" s="169"/>
      <c r="J23" s="163"/>
      <c r="K23" s="165">
        <v>43647</v>
      </c>
      <c r="L23" s="166">
        <v>11118</v>
      </c>
      <c r="M23" s="170">
        <f t="shared" si="1"/>
        <v>-5.6905465757898344E-2</v>
      </c>
      <c r="N23" s="163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</row>
    <row r="24" spans="1:26" ht="13.8" x14ac:dyDescent="0.25">
      <c r="A24" s="165">
        <v>43678</v>
      </c>
      <c r="B24" s="166">
        <v>838.7</v>
      </c>
      <c r="C24" s="170">
        <f t="shared" si="0"/>
        <v>5.1595511253213155E-2</v>
      </c>
      <c r="D24" s="160"/>
      <c r="E24" s="160"/>
      <c r="F24" s="160"/>
      <c r="G24" s="160"/>
      <c r="H24" s="168"/>
      <c r="I24" s="169"/>
      <c r="J24" s="163"/>
      <c r="K24" s="165">
        <v>43678</v>
      </c>
      <c r="L24" s="166">
        <v>11023.25</v>
      </c>
      <c r="M24" s="170">
        <f t="shared" si="1"/>
        <v>-8.5222162259399603E-3</v>
      </c>
      <c r="N24" s="163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 spans="1:26" ht="13.8" x14ac:dyDescent="0.25">
      <c r="A25" s="165">
        <v>43709</v>
      </c>
      <c r="B25" s="166">
        <v>846.4</v>
      </c>
      <c r="C25" s="170">
        <f t="shared" si="0"/>
        <v>9.1808751639441688E-3</v>
      </c>
      <c r="D25" s="160"/>
      <c r="E25" s="160"/>
      <c r="F25" s="160"/>
      <c r="G25" s="160"/>
      <c r="H25" s="168"/>
      <c r="I25" s="169"/>
      <c r="J25" s="163"/>
      <c r="K25" s="165">
        <v>43709</v>
      </c>
      <c r="L25" s="166">
        <v>11474.45</v>
      </c>
      <c r="M25" s="170">
        <f t="shared" si="1"/>
        <v>4.0931667158052409E-2</v>
      </c>
      <c r="N25" s="163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</row>
    <row r="26" spans="1:26" ht="13.8" x14ac:dyDescent="0.25">
      <c r="A26" s="165">
        <v>43739</v>
      </c>
      <c r="B26" s="166">
        <v>991.5</v>
      </c>
      <c r="C26" s="170">
        <f t="shared" si="0"/>
        <v>0.17143194706994325</v>
      </c>
      <c r="D26" s="160"/>
      <c r="E26" s="160"/>
      <c r="F26" s="160"/>
      <c r="G26" s="160"/>
      <c r="H26" s="168"/>
      <c r="I26" s="169"/>
      <c r="J26" s="163"/>
      <c r="K26" s="165">
        <v>43739</v>
      </c>
      <c r="L26" s="166">
        <v>11877.45</v>
      </c>
      <c r="M26" s="170">
        <f t="shared" si="1"/>
        <v>3.5121509091939007E-2</v>
      </c>
      <c r="N26" s="163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</row>
    <row r="27" spans="1:26" ht="13.8" x14ac:dyDescent="0.25">
      <c r="A27" s="165">
        <v>43770</v>
      </c>
      <c r="B27" s="166">
        <v>960.05</v>
      </c>
      <c r="C27" s="170">
        <f t="shared" si="0"/>
        <v>-3.171961674230972E-2</v>
      </c>
      <c r="D27" s="160"/>
      <c r="E27" s="160"/>
      <c r="F27" s="160"/>
      <c r="G27" s="160"/>
      <c r="H27" s="168"/>
      <c r="I27" s="169"/>
      <c r="J27" s="163"/>
      <c r="K27" s="165">
        <v>43770</v>
      </c>
      <c r="L27" s="166">
        <v>12056.05</v>
      </c>
      <c r="M27" s="170">
        <f t="shared" si="1"/>
        <v>1.5036897650589909E-2</v>
      </c>
      <c r="N27" s="163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</row>
    <row r="28" spans="1:26" ht="13.8" x14ac:dyDescent="0.25">
      <c r="A28" s="165">
        <v>43800</v>
      </c>
      <c r="B28" s="166">
        <v>961.6</v>
      </c>
      <c r="C28" s="170">
        <f t="shared" si="0"/>
        <v>1.6144992448310358E-3</v>
      </c>
      <c r="D28" s="160"/>
      <c r="E28" s="160"/>
      <c r="F28" s="160"/>
      <c r="G28" s="160"/>
      <c r="H28" s="168"/>
      <c r="I28" s="169"/>
      <c r="J28" s="163"/>
      <c r="K28" s="165">
        <v>43800</v>
      </c>
      <c r="L28" s="166">
        <v>12168.45</v>
      </c>
      <c r="M28" s="170">
        <f t="shared" si="1"/>
        <v>9.3231199273395848E-3</v>
      </c>
      <c r="N28" s="163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</row>
    <row r="29" spans="1:26" ht="13.8" x14ac:dyDescent="0.25">
      <c r="A29" s="165">
        <v>43831</v>
      </c>
      <c r="B29" s="166">
        <v>994.1</v>
      </c>
      <c r="C29" s="170">
        <f t="shared" si="0"/>
        <v>3.3797836938435966E-2</v>
      </c>
      <c r="D29" s="160"/>
      <c r="E29" s="160"/>
      <c r="F29" s="160"/>
      <c r="G29" s="160"/>
      <c r="H29" s="168"/>
      <c r="I29" s="169"/>
      <c r="J29" s="163"/>
      <c r="K29" s="165">
        <v>43831</v>
      </c>
      <c r="L29" s="166">
        <v>11962.1</v>
      </c>
      <c r="M29" s="170">
        <f t="shared" si="1"/>
        <v>-1.6957788378963667E-2</v>
      </c>
      <c r="N29" s="163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</row>
    <row r="30" spans="1:26" ht="13.8" x14ac:dyDescent="0.25">
      <c r="A30" s="165">
        <v>43862</v>
      </c>
      <c r="B30" s="166">
        <v>890.4</v>
      </c>
      <c r="C30" s="170">
        <f t="shared" si="0"/>
        <v>-0.10431546122120516</v>
      </c>
      <c r="D30" s="160"/>
      <c r="E30" s="160"/>
      <c r="F30" s="160"/>
      <c r="G30" s="160"/>
      <c r="H30" s="168"/>
      <c r="I30" s="169"/>
      <c r="J30" s="163"/>
      <c r="K30" s="165">
        <v>43862</v>
      </c>
      <c r="L30" s="166">
        <v>11201.75</v>
      </c>
      <c r="M30" s="170">
        <f t="shared" si="1"/>
        <v>-6.3563253943705544E-2</v>
      </c>
      <c r="N30" s="163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</row>
    <row r="31" spans="1:26" ht="13.8" x14ac:dyDescent="0.25">
      <c r="A31" s="165">
        <v>43891</v>
      </c>
      <c r="B31" s="166">
        <v>641</v>
      </c>
      <c r="C31" s="170">
        <f t="shared" si="0"/>
        <v>-0.28009883198562446</v>
      </c>
      <c r="D31" s="160"/>
      <c r="E31" s="160"/>
      <c r="F31" s="160"/>
      <c r="G31" s="160"/>
      <c r="H31" s="168"/>
      <c r="I31" s="169"/>
      <c r="J31" s="163"/>
      <c r="K31" s="165">
        <v>43891</v>
      </c>
      <c r="L31" s="166">
        <v>8597.75</v>
      </c>
      <c r="M31" s="170">
        <f t="shared" si="1"/>
        <v>-0.23246367755038277</v>
      </c>
      <c r="N31" s="163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</row>
    <row r="32" spans="1:26" ht="13.8" x14ac:dyDescent="0.25">
      <c r="A32" s="165">
        <v>43922</v>
      </c>
      <c r="B32" s="166">
        <v>726.85</v>
      </c>
      <c r="C32" s="170">
        <f t="shared" si="0"/>
        <v>0.13393135725429017</v>
      </c>
      <c r="D32" s="160"/>
      <c r="E32" s="160"/>
      <c r="F32" s="160"/>
      <c r="G32" s="160"/>
      <c r="H32" s="168"/>
      <c r="I32" s="169"/>
      <c r="J32" s="163"/>
      <c r="K32" s="165">
        <v>43922</v>
      </c>
      <c r="L32" s="166">
        <v>9859.9</v>
      </c>
      <c r="M32" s="170">
        <f t="shared" si="1"/>
        <v>0.14680003489284976</v>
      </c>
      <c r="N32" s="163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</row>
    <row r="33" spans="1:26" ht="13.8" x14ac:dyDescent="0.25">
      <c r="A33" s="175">
        <v>43952</v>
      </c>
      <c r="B33" s="166">
        <v>768.65</v>
      </c>
      <c r="C33" s="170">
        <f t="shared" si="0"/>
        <v>5.7508426773061672E-2</v>
      </c>
      <c r="D33" s="160"/>
      <c r="E33" s="160"/>
      <c r="F33" s="160"/>
      <c r="G33" s="160"/>
      <c r="H33" s="176"/>
      <c r="I33" s="169"/>
      <c r="J33" s="163"/>
      <c r="K33" s="175">
        <v>43952</v>
      </c>
      <c r="L33" s="166">
        <v>9580.2999999999993</v>
      </c>
      <c r="M33" s="170">
        <f t="shared" si="1"/>
        <v>-2.8357285570847601E-2</v>
      </c>
      <c r="N33" s="163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</row>
    <row r="34" spans="1:26" ht="13.8" x14ac:dyDescent="0.25">
      <c r="A34" s="165">
        <v>43983</v>
      </c>
      <c r="B34" s="166">
        <v>806.45</v>
      </c>
      <c r="C34" s="170">
        <f t="shared" si="0"/>
        <v>4.9177128732192932E-2</v>
      </c>
      <c r="D34" s="160"/>
      <c r="E34" s="160"/>
      <c r="F34" s="160"/>
      <c r="G34" s="160"/>
      <c r="H34" s="168"/>
      <c r="I34" s="169"/>
      <c r="J34" s="163"/>
      <c r="K34" s="165">
        <v>43983</v>
      </c>
      <c r="L34" s="166">
        <v>10302.1</v>
      </c>
      <c r="M34" s="170">
        <f t="shared" si="1"/>
        <v>7.5342108284709441E-2</v>
      </c>
      <c r="N34" s="163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</row>
    <row r="35" spans="1:26" ht="13.8" x14ac:dyDescent="0.25">
      <c r="A35" s="165">
        <v>44013</v>
      </c>
      <c r="B35" s="166">
        <v>912.85</v>
      </c>
      <c r="C35" s="170">
        <f t="shared" ref="C35:C66" si="2">B35/B34-1</f>
        <v>0.13193626387252766</v>
      </c>
      <c r="D35" s="160"/>
      <c r="E35" s="160"/>
      <c r="F35" s="160"/>
      <c r="G35" s="160"/>
      <c r="H35" s="168"/>
      <c r="I35" s="169"/>
      <c r="J35" s="163"/>
      <c r="K35" s="165">
        <v>44013</v>
      </c>
      <c r="L35" s="166">
        <v>11073.45</v>
      </c>
      <c r="M35" s="170">
        <f t="shared" ref="M35:M66" si="3">L35/L34-1</f>
        <v>7.4873084128478595E-2</v>
      </c>
      <c r="N35" s="163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</row>
    <row r="36" spans="1:26" ht="13.8" x14ac:dyDescent="0.25">
      <c r="A36" s="165">
        <v>44044</v>
      </c>
      <c r="B36" s="166">
        <v>827.75</v>
      </c>
      <c r="C36" s="170">
        <f t="shared" si="2"/>
        <v>-9.3224516623760745E-2</v>
      </c>
      <c r="D36" s="160"/>
      <c r="E36" s="160"/>
      <c r="F36" s="160"/>
      <c r="G36" s="160"/>
      <c r="H36" s="168"/>
      <c r="I36" s="169"/>
      <c r="J36" s="163"/>
      <c r="K36" s="165">
        <v>44044</v>
      </c>
      <c r="L36" s="166">
        <v>11387.5</v>
      </c>
      <c r="M36" s="170">
        <f t="shared" si="3"/>
        <v>2.8360628349791472E-2</v>
      </c>
      <c r="N36" s="163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</row>
    <row r="37" spans="1:26" ht="13.8" x14ac:dyDescent="0.25">
      <c r="A37" s="165">
        <v>44075</v>
      </c>
      <c r="B37" s="166">
        <v>811.45</v>
      </c>
      <c r="C37" s="170">
        <f t="shared" si="2"/>
        <v>-1.9691935971005714E-2</v>
      </c>
      <c r="D37" s="160"/>
      <c r="E37" s="160"/>
      <c r="F37" s="160"/>
      <c r="G37" s="160"/>
      <c r="H37" s="168"/>
      <c r="I37" s="169"/>
      <c r="J37" s="163"/>
      <c r="K37" s="165">
        <v>44075</v>
      </c>
      <c r="L37" s="166">
        <v>11247.55</v>
      </c>
      <c r="M37" s="170">
        <f t="shared" si="3"/>
        <v>-1.2289791437980258E-2</v>
      </c>
      <c r="N37" s="163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</row>
    <row r="38" spans="1:26" ht="13.8" x14ac:dyDescent="0.25">
      <c r="A38" s="165">
        <v>44105</v>
      </c>
      <c r="B38" s="166">
        <v>769.15</v>
      </c>
      <c r="C38" s="170">
        <f t="shared" si="2"/>
        <v>-5.212890504652179E-2</v>
      </c>
      <c r="D38" s="160"/>
      <c r="E38" s="160"/>
      <c r="F38" s="160"/>
      <c r="G38" s="160"/>
      <c r="H38" s="168"/>
      <c r="I38" s="169"/>
      <c r="J38" s="163"/>
      <c r="K38" s="165">
        <v>44105</v>
      </c>
      <c r="L38" s="166">
        <v>11642.4</v>
      </c>
      <c r="M38" s="170">
        <f t="shared" si="3"/>
        <v>3.5105422958777721E-2</v>
      </c>
      <c r="N38" s="163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</row>
    <row r="39" spans="1:26" ht="13.8" x14ac:dyDescent="0.25">
      <c r="A39" s="165">
        <v>44136</v>
      </c>
      <c r="B39" s="166">
        <v>846.05</v>
      </c>
      <c r="C39" s="170">
        <f t="shared" si="2"/>
        <v>9.9980497952284919E-2</v>
      </c>
      <c r="D39" s="160"/>
      <c r="E39" s="160"/>
      <c r="F39" s="160"/>
      <c r="G39" s="160"/>
      <c r="H39" s="168"/>
      <c r="I39" s="169"/>
      <c r="J39" s="163"/>
      <c r="K39" s="165">
        <v>44136</v>
      </c>
      <c r="L39" s="166">
        <v>12968.95</v>
      </c>
      <c r="M39" s="170">
        <f t="shared" si="3"/>
        <v>0.11394128358414091</v>
      </c>
      <c r="N39" s="163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</row>
    <row r="40" spans="1:26" ht="13.8" x14ac:dyDescent="0.25">
      <c r="A40" s="165">
        <v>44166</v>
      </c>
      <c r="B40" s="166">
        <v>904.25</v>
      </c>
      <c r="C40" s="170">
        <f t="shared" si="2"/>
        <v>6.8790260622894728E-2</v>
      </c>
      <c r="D40" s="160"/>
      <c r="E40" s="160"/>
      <c r="F40" s="160"/>
      <c r="G40" s="160"/>
      <c r="H40" s="168"/>
      <c r="I40" s="169"/>
      <c r="J40" s="163"/>
      <c r="K40" s="165">
        <v>44166</v>
      </c>
      <c r="L40" s="166">
        <v>13981.75</v>
      </c>
      <c r="M40" s="170">
        <f t="shared" si="3"/>
        <v>7.8094217342190353E-2</v>
      </c>
      <c r="N40" s="163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</row>
    <row r="41" spans="1:26" ht="13.8" x14ac:dyDescent="0.25">
      <c r="A41" s="165">
        <v>44197</v>
      </c>
      <c r="B41" s="166">
        <v>864.45</v>
      </c>
      <c r="C41" s="170">
        <f t="shared" si="2"/>
        <v>-4.4014376555156165E-2</v>
      </c>
      <c r="D41" s="160"/>
      <c r="E41" s="160"/>
      <c r="F41" s="160"/>
      <c r="G41" s="160"/>
      <c r="H41" s="168"/>
      <c r="I41" s="169"/>
      <c r="J41" s="163"/>
      <c r="K41" s="165">
        <v>44197</v>
      </c>
      <c r="L41" s="166">
        <v>13634.6</v>
      </c>
      <c r="M41" s="170">
        <f t="shared" si="3"/>
        <v>-2.4828794678777633E-2</v>
      </c>
      <c r="N41" s="163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</row>
    <row r="42" spans="1:26" ht="13.8" x14ac:dyDescent="0.25">
      <c r="A42" s="165">
        <v>44228</v>
      </c>
      <c r="B42" s="166">
        <v>866.9</v>
      </c>
      <c r="C42" s="170">
        <f t="shared" si="2"/>
        <v>2.8341720168891804E-3</v>
      </c>
      <c r="D42" s="160"/>
      <c r="E42" s="160"/>
      <c r="F42" s="160"/>
      <c r="G42" s="160"/>
      <c r="H42" s="168"/>
      <c r="I42" s="169"/>
      <c r="J42" s="163"/>
      <c r="K42" s="165">
        <v>44228</v>
      </c>
      <c r="L42" s="166">
        <v>14529.15</v>
      </c>
      <c r="M42" s="170">
        <f t="shared" si="3"/>
        <v>6.5608818740557018E-2</v>
      </c>
      <c r="N42" s="163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</row>
    <row r="43" spans="1:26" ht="13.8" x14ac:dyDescent="0.25">
      <c r="A43" s="165">
        <v>44256</v>
      </c>
      <c r="B43" s="166">
        <v>880.85</v>
      </c>
      <c r="C43" s="170">
        <f t="shared" si="2"/>
        <v>1.6091821432691278E-2</v>
      </c>
      <c r="D43" s="160"/>
      <c r="E43" s="160"/>
      <c r="F43" s="160"/>
      <c r="G43" s="160"/>
      <c r="H43" s="168"/>
      <c r="I43" s="169"/>
      <c r="J43" s="163"/>
      <c r="K43" s="165">
        <v>44256</v>
      </c>
      <c r="L43" s="166">
        <v>14690.7</v>
      </c>
      <c r="M43" s="170">
        <f t="shared" si="3"/>
        <v>1.111902623346861E-2</v>
      </c>
      <c r="N43" s="163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</row>
    <row r="44" spans="1:26" ht="13.8" x14ac:dyDescent="0.25">
      <c r="A44" s="165">
        <v>44287</v>
      </c>
      <c r="B44" s="166">
        <v>928.7</v>
      </c>
      <c r="C44" s="170">
        <f t="shared" si="2"/>
        <v>5.4322529375035566E-2</v>
      </c>
      <c r="D44" s="160"/>
      <c r="E44" s="160"/>
      <c r="F44" s="160"/>
      <c r="G44" s="160"/>
      <c r="H44" s="168"/>
      <c r="I44" s="169"/>
      <c r="J44" s="163"/>
      <c r="K44" s="165">
        <v>44287</v>
      </c>
      <c r="L44" s="166">
        <v>14631.1</v>
      </c>
      <c r="M44" s="170">
        <f t="shared" si="3"/>
        <v>-4.0569884348601315E-3</v>
      </c>
      <c r="N44" s="163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</row>
    <row r="45" spans="1:26" ht="13.8" x14ac:dyDescent="0.25">
      <c r="A45" s="175">
        <v>44317</v>
      </c>
      <c r="B45" s="166">
        <v>975.65</v>
      </c>
      <c r="C45" s="170">
        <f t="shared" si="2"/>
        <v>5.0554538602347376E-2</v>
      </c>
      <c r="D45" s="160"/>
      <c r="E45" s="160"/>
      <c r="F45" s="160"/>
      <c r="G45" s="160"/>
      <c r="H45" s="176"/>
      <c r="I45" s="169"/>
      <c r="J45" s="163"/>
      <c r="K45" s="175">
        <v>44317</v>
      </c>
      <c r="L45" s="166">
        <v>15582.8</v>
      </c>
      <c r="M45" s="170">
        <f t="shared" si="3"/>
        <v>6.5046373820150105E-2</v>
      </c>
      <c r="N45" s="163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</row>
    <row r="46" spans="1:26" ht="13.8" x14ac:dyDescent="0.25">
      <c r="A46" s="165">
        <v>44348</v>
      </c>
      <c r="B46" s="166">
        <v>1008.15</v>
      </c>
      <c r="C46" s="170">
        <f t="shared" si="2"/>
        <v>3.3311125916055895E-2</v>
      </c>
      <c r="D46" s="160"/>
      <c r="E46" s="160"/>
      <c r="F46" s="160"/>
      <c r="G46" s="160"/>
      <c r="H46" s="168"/>
      <c r="I46" s="169"/>
      <c r="J46" s="163"/>
      <c r="K46" s="165">
        <v>44348</v>
      </c>
      <c r="L46" s="166">
        <v>15721.5</v>
      </c>
      <c r="M46" s="170">
        <f t="shared" si="3"/>
        <v>8.9008393870164682E-3</v>
      </c>
      <c r="N46" s="163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</row>
    <row r="47" spans="1:26" ht="13.8" x14ac:dyDescent="0.25">
      <c r="A47" s="165">
        <v>44378</v>
      </c>
      <c r="B47" s="166">
        <v>1098.5999999999999</v>
      </c>
      <c r="C47" s="170">
        <f t="shared" si="2"/>
        <v>8.9718791846451262E-2</v>
      </c>
      <c r="D47" s="160"/>
      <c r="E47" s="160"/>
      <c r="F47" s="160"/>
      <c r="G47" s="160"/>
      <c r="H47" s="168"/>
      <c r="I47" s="169"/>
      <c r="J47" s="163"/>
      <c r="K47" s="165">
        <v>44378</v>
      </c>
      <c r="L47" s="166">
        <v>15763.05</v>
      </c>
      <c r="M47" s="170">
        <f t="shared" si="3"/>
        <v>2.6428775880162902E-3</v>
      </c>
      <c r="N47" s="163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</row>
    <row r="48" spans="1:26" ht="13.8" x14ac:dyDescent="0.25">
      <c r="A48" s="165">
        <v>44409</v>
      </c>
      <c r="B48" s="166">
        <v>1192.05</v>
      </c>
      <c r="C48" s="170">
        <f t="shared" si="2"/>
        <v>8.5062807209175473E-2</v>
      </c>
      <c r="D48" s="160"/>
      <c r="E48" s="160"/>
      <c r="F48" s="160"/>
      <c r="G48" s="160"/>
      <c r="H48" s="168"/>
      <c r="I48" s="169"/>
      <c r="J48" s="163"/>
      <c r="K48" s="165">
        <v>44409</v>
      </c>
      <c r="L48" s="166">
        <v>17132.2</v>
      </c>
      <c r="M48" s="170">
        <f t="shared" si="3"/>
        <v>8.6858190515160638E-2</v>
      </c>
      <c r="N48" s="163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</row>
    <row r="49" spans="1:26" ht="13.8" x14ac:dyDescent="0.25">
      <c r="A49" s="165">
        <v>44440</v>
      </c>
      <c r="B49" s="166">
        <v>1215.0999999999999</v>
      </c>
      <c r="C49" s="170">
        <f t="shared" si="2"/>
        <v>1.9336437229982018E-2</v>
      </c>
      <c r="D49" s="160"/>
      <c r="E49" s="160"/>
      <c r="F49" s="160"/>
      <c r="G49" s="160"/>
      <c r="H49" s="168"/>
      <c r="I49" s="169"/>
      <c r="J49" s="163"/>
      <c r="K49" s="165">
        <v>44440</v>
      </c>
      <c r="L49" s="166">
        <v>17618.150000000001</v>
      </c>
      <c r="M49" s="170">
        <f t="shared" si="3"/>
        <v>2.8364716732235173E-2</v>
      </c>
      <c r="N49" s="163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</row>
    <row r="50" spans="1:26" ht="13.8" x14ac:dyDescent="0.25">
      <c r="A50" s="165">
        <v>44470</v>
      </c>
      <c r="B50" s="166">
        <v>1145.55</v>
      </c>
      <c r="C50" s="170">
        <f t="shared" si="2"/>
        <v>-5.7238087400213966E-2</v>
      </c>
      <c r="D50" s="160"/>
      <c r="E50" s="160"/>
      <c r="F50" s="160"/>
      <c r="G50" s="160"/>
      <c r="H50" s="168"/>
      <c r="I50" s="169"/>
      <c r="J50" s="163"/>
      <c r="K50" s="165">
        <v>44470</v>
      </c>
      <c r="L50" s="166">
        <v>17671.650000000001</v>
      </c>
      <c r="M50" s="170">
        <f t="shared" si="3"/>
        <v>3.0366411910445201E-3</v>
      </c>
      <c r="N50" s="163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</row>
    <row r="51" spans="1:26" ht="13.8" x14ac:dyDescent="0.25">
      <c r="A51" s="165">
        <v>44501</v>
      </c>
      <c r="B51" s="166">
        <v>1160.55</v>
      </c>
      <c r="C51" s="170">
        <f t="shared" si="2"/>
        <v>1.3094146916328375E-2</v>
      </c>
      <c r="D51" s="160"/>
      <c r="E51" s="160"/>
      <c r="F51" s="160"/>
      <c r="G51" s="160"/>
      <c r="H51" s="168"/>
      <c r="I51" s="169"/>
      <c r="J51" s="163"/>
      <c r="K51" s="165">
        <v>44501</v>
      </c>
      <c r="L51" s="166">
        <v>16983.2</v>
      </c>
      <c r="M51" s="170">
        <f t="shared" si="3"/>
        <v>-3.8957878862471818E-2</v>
      </c>
      <c r="N51" s="163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</row>
    <row r="52" spans="1:26" ht="13.8" x14ac:dyDescent="0.25">
      <c r="A52" s="165">
        <v>44531</v>
      </c>
      <c r="B52" s="166">
        <v>1196</v>
      </c>
      <c r="C52" s="170">
        <f t="shared" si="2"/>
        <v>3.0545861875834746E-2</v>
      </c>
      <c r="D52" s="160"/>
      <c r="E52" s="160"/>
      <c r="F52" s="160"/>
      <c r="G52" s="160"/>
      <c r="H52" s="168"/>
      <c r="I52" s="169"/>
      <c r="J52" s="163"/>
      <c r="K52" s="165">
        <v>44531</v>
      </c>
      <c r="L52" s="166">
        <v>17354.05</v>
      </c>
      <c r="M52" s="170">
        <f t="shared" si="3"/>
        <v>2.1836285270149247E-2</v>
      </c>
      <c r="N52" s="163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</row>
    <row r="53" spans="1:26" ht="13.8" x14ac:dyDescent="0.25">
      <c r="A53" s="165">
        <v>44562</v>
      </c>
      <c r="B53" s="166">
        <v>1233.25</v>
      </c>
      <c r="C53" s="170">
        <f t="shared" si="2"/>
        <v>3.1145484949832714E-2</v>
      </c>
      <c r="D53" s="160"/>
      <c r="E53" s="160"/>
      <c r="F53" s="160"/>
      <c r="G53" s="160"/>
      <c r="H53" s="168"/>
      <c r="I53" s="169"/>
      <c r="J53" s="163"/>
      <c r="K53" s="165">
        <v>44562</v>
      </c>
      <c r="L53" s="166">
        <v>17339.849999999999</v>
      </c>
      <c r="M53" s="170">
        <f t="shared" si="3"/>
        <v>-8.1825279977876253E-4</v>
      </c>
      <c r="N53" s="163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</row>
    <row r="54" spans="1:26" ht="13.8" x14ac:dyDescent="0.25">
      <c r="A54" s="165">
        <v>44593</v>
      </c>
      <c r="B54" s="166">
        <v>1060.1500000000001</v>
      </c>
      <c r="C54" s="170">
        <f t="shared" si="2"/>
        <v>-0.14036083519156695</v>
      </c>
      <c r="D54" s="160"/>
      <c r="E54" s="160"/>
      <c r="F54" s="160"/>
      <c r="G54" s="160"/>
      <c r="H54" s="168"/>
      <c r="I54" s="169"/>
      <c r="J54" s="163"/>
      <c r="K54" s="165">
        <v>44593</v>
      </c>
      <c r="L54" s="166">
        <v>16793.900000000001</v>
      </c>
      <c r="M54" s="170">
        <f t="shared" si="3"/>
        <v>-3.1485278131010208E-2</v>
      </c>
      <c r="N54" s="163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</row>
    <row r="55" spans="1:26" ht="13.8" x14ac:dyDescent="0.25">
      <c r="A55" s="165">
        <v>44621</v>
      </c>
      <c r="B55" s="166">
        <v>1121.45</v>
      </c>
      <c r="C55" s="170">
        <f t="shared" si="2"/>
        <v>5.7822006319860453E-2</v>
      </c>
      <c r="D55" s="160"/>
      <c r="E55" s="160"/>
      <c r="F55" s="160"/>
      <c r="G55" s="160"/>
      <c r="H55" s="168"/>
      <c r="I55" s="169"/>
      <c r="J55" s="163"/>
      <c r="K55" s="165">
        <v>44621</v>
      </c>
      <c r="L55" s="166">
        <v>17464.75</v>
      </c>
      <c r="M55" s="170">
        <f t="shared" si="3"/>
        <v>3.9946051840251462E-2</v>
      </c>
      <c r="N55" s="163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</row>
    <row r="56" spans="1:26" ht="13.8" x14ac:dyDescent="0.25">
      <c r="A56" s="165">
        <v>44652</v>
      </c>
      <c r="B56" s="166">
        <v>1105.5</v>
      </c>
      <c r="C56" s="170">
        <f t="shared" si="2"/>
        <v>-1.4222658165767621E-2</v>
      </c>
      <c r="D56" s="160"/>
      <c r="E56" s="160"/>
      <c r="F56" s="160"/>
      <c r="G56" s="160"/>
      <c r="H56" s="168"/>
      <c r="I56" s="169"/>
      <c r="J56" s="163"/>
      <c r="K56" s="165">
        <v>44652</v>
      </c>
      <c r="L56" s="166">
        <v>17102.55</v>
      </c>
      <c r="M56" s="170">
        <f t="shared" si="3"/>
        <v>-2.0738916961307807E-2</v>
      </c>
      <c r="N56" s="163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</row>
    <row r="57" spans="1:26" ht="13.8" x14ac:dyDescent="0.25">
      <c r="A57" s="175">
        <v>44682</v>
      </c>
      <c r="B57" s="166">
        <v>1174.1500000000001</v>
      </c>
      <c r="C57" s="170">
        <f t="shared" si="2"/>
        <v>6.2098597919493459E-2</v>
      </c>
      <c r="D57" s="160"/>
      <c r="E57" s="160"/>
      <c r="F57" s="160"/>
      <c r="G57" s="160"/>
      <c r="H57" s="176"/>
      <c r="I57" s="169"/>
      <c r="J57" s="163"/>
      <c r="K57" s="175">
        <v>44682</v>
      </c>
      <c r="L57" s="166">
        <v>16584.55</v>
      </c>
      <c r="M57" s="170">
        <f t="shared" si="3"/>
        <v>-3.0287881046978327E-2</v>
      </c>
      <c r="N57" s="163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</row>
    <row r="58" spans="1:26" ht="13.8" x14ac:dyDescent="0.25">
      <c r="A58" s="165">
        <v>44713</v>
      </c>
      <c r="B58" s="166">
        <v>1081.5999999999999</v>
      </c>
      <c r="C58" s="170">
        <f t="shared" si="2"/>
        <v>-7.8822978324745718E-2</v>
      </c>
      <c r="D58" s="160"/>
      <c r="E58" s="160"/>
      <c r="F58" s="160"/>
      <c r="G58" s="160"/>
      <c r="H58" s="168"/>
      <c r="I58" s="169"/>
      <c r="J58" s="163"/>
      <c r="K58" s="165">
        <v>44713</v>
      </c>
      <c r="L58" s="166">
        <v>15780.25</v>
      </c>
      <c r="M58" s="170">
        <f t="shared" si="3"/>
        <v>-4.8496944445281853E-2</v>
      </c>
      <c r="N58" s="163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</row>
    <row r="59" spans="1:26" ht="13.8" x14ac:dyDescent="0.25">
      <c r="A59" s="165">
        <v>44743</v>
      </c>
      <c r="B59" s="166">
        <v>1294.4000000000001</v>
      </c>
      <c r="C59" s="170">
        <f t="shared" si="2"/>
        <v>0.19674556213017769</v>
      </c>
      <c r="D59" s="160"/>
      <c r="E59" s="160"/>
      <c r="F59" s="160"/>
      <c r="G59" s="160"/>
      <c r="H59" s="168"/>
      <c r="I59" s="169"/>
      <c r="J59" s="163"/>
      <c r="K59" s="165">
        <v>44743</v>
      </c>
      <c r="L59" s="166">
        <v>17158.25</v>
      </c>
      <c r="M59" s="170">
        <f t="shared" si="3"/>
        <v>8.7324345305048956E-2</v>
      </c>
      <c r="N59" s="163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</row>
    <row r="60" spans="1:26" ht="13.8" x14ac:dyDescent="0.25">
      <c r="A60" s="165">
        <v>44774</v>
      </c>
      <c r="B60" s="166">
        <v>1329.1</v>
      </c>
      <c r="C60" s="170">
        <f t="shared" si="2"/>
        <v>2.6807787391841531E-2</v>
      </c>
      <c r="D60" s="160"/>
      <c r="E60" s="160"/>
      <c r="F60" s="160"/>
      <c r="G60" s="160"/>
      <c r="H60" s="168"/>
      <c r="I60" s="169"/>
      <c r="J60" s="163"/>
      <c r="K60" s="165">
        <v>44774</v>
      </c>
      <c r="L60" s="166">
        <v>17759.3</v>
      </c>
      <c r="M60" s="170">
        <f t="shared" si="3"/>
        <v>3.5029796162195925E-2</v>
      </c>
      <c r="N60" s="163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</row>
    <row r="61" spans="1:26" ht="13.8" x14ac:dyDescent="0.25">
      <c r="A61" s="165">
        <v>44805</v>
      </c>
      <c r="B61" s="166">
        <v>1250.45</v>
      </c>
      <c r="C61" s="170">
        <f t="shared" si="2"/>
        <v>-5.9175381837333396E-2</v>
      </c>
      <c r="D61" s="160"/>
      <c r="E61" s="160"/>
      <c r="F61" s="160"/>
      <c r="G61" s="160"/>
      <c r="H61" s="168"/>
      <c r="I61" s="169"/>
      <c r="J61" s="163"/>
      <c r="K61" s="165">
        <v>44805</v>
      </c>
      <c r="L61" s="166">
        <v>17094.349999999999</v>
      </c>
      <c r="M61" s="170">
        <f t="shared" si="3"/>
        <v>-3.7442354146841383E-2</v>
      </c>
      <c r="N61" s="163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</row>
    <row r="62" spans="1:26" ht="13.8" x14ac:dyDescent="0.25">
      <c r="A62" s="165">
        <v>44835</v>
      </c>
      <c r="B62" s="166">
        <v>1265.95</v>
      </c>
      <c r="C62" s="170">
        <f t="shared" si="2"/>
        <v>1.2395537606461726E-2</v>
      </c>
      <c r="D62" s="160"/>
      <c r="E62" s="160"/>
      <c r="F62" s="160"/>
      <c r="G62" s="160"/>
      <c r="H62" s="168"/>
      <c r="I62" s="169"/>
      <c r="J62" s="163"/>
      <c r="K62" s="165">
        <v>44835</v>
      </c>
      <c r="L62" s="166">
        <v>18012.2</v>
      </c>
      <c r="M62" s="170">
        <f t="shared" si="3"/>
        <v>5.3693179325332796E-2</v>
      </c>
      <c r="N62" s="163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</row>
    <row r="63" spans="1:26" ht="13.8" x14ac:dyDescent="0.25">
      <c r="A63" s="165">
        <v>44866</v>
      </c>
      <c r="B63" s="166">
        <v>1282.9000000000001</v>
      </c>
      <c r="C63" s="170">
        <f t="shared" si="2"/>
        <v>1.3389154389983782E-2</v>
      </c>
      <c r="D63" s="160"/>
      <c r="E63" s="160"/>
      <c r="F63" s="160"/>
      <c r="G63" s="160"/>
      <c r="H63" s="168"/>
      <c r="I63" s="169"/>
      <c r="J63" s="163"/>
      <c r="K63" s="165">
        <v>44866</v>
      </c>
      <c r="L63" s="166">
        <v>18758.349999999999</v>
      </c>
      <c r="M63" s="170">
        <f t="shared" si="3"/>
        <v>4.1424701035964295E-2</v>
      </c>
      <c r="N63" s="163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</row>
    <row r="64" spans="1:26" ht="13.8" x14ac:dyDescent="0.25">
      <c r="A64" s="165">
        <v>44896</v>
      </c>
      <c r="B64" s="166">
        <v>1231.3</v>
      </c>
      <c r="C64" s="170">
        <f t="shared" si="2"/>
        <v>-4.0221373450775699E-2</v>
      </c>
      <c r="D64" s="160"/>
      <c r="E64" s="160"/>
      <c r="F64" s="160"/>
      <c r="G64" s="160"/>
      <c r="H64" s="168"/>
      <c r="I64" s="169"/>
      <c r="J64" s="163"/>
      <c r="K64" s="165">
        <v>44896</v>
      </c>
      <c r="L64" s="166">
        <v>18105.3</v>
      </c>
      <c r="M64" s="170">
        <f t="shared" si="3"/>
        <v>-3.4813829574562805E-2</v>
      </c>
      <c r="N64" s="163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</row>
    <row r="65" spans="1:26" ht="13.8" x14ac:dyDescent="0.25">
      <c r="A65" s="165">
        <v>44927</v>
      </c>
      <c r="B65" s="166">
        <v>1219.55</v>
      </c>
      <c r="C65" s="170">
        <f t="shared" si="2"/>
        <v>-9.5427596848859375E-3</v>
      </c>
      <c r="D65" s="160"/>
      <c r="E65" s="160"/>
      <c r="F65" s="160"/>
      <c r="G65" s="160"/>
      <c r="H65" s="168"/>
      <c r="I65" s="169"/>
      <c r="J65" s="163"/>
      <c r="K65" s="165">
        <v>44927</v>
      </c>
      <c r="L65" s="166">
        <v>17662.150000000001</v>
      </c>
      <c r="M65" s="170">
        <f t="shared" si="3"/>
        <v>-2.4476258333195111E-2</v>
      </c>
      <c r="N65" s="163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</row>
    <row r="66" spans="1:26" ht="13.8" x14ac:dyDescent="0.25">
      <c r="A66" s="165">
        <v>44958</v>
      </c>
      <c r="B66" s="166">
        <v>1121</v>
      </c>
      <c r="C66" s="170">
        <f t="shared" si="2"/>
        <v>-8.0808494936656983E-2</v>
      </c>
      <c r="D66" s="160"/>
      <c r="E66" s="160"/>
      <c r="F66" s="160"/>
      <c r="G66" s="160"/>
      <c r="H66" s="168"/>
      <c r="I66" s="169"/>
      <c r="J66" s="163"/>
      <c r="K66" s="165">
        <v>44958</v>
      </c>
      <c r="L66" s="166">
        <v>17303.95</v>
      </c>
      <c r="M66" s="170">
        <f t="shared" si="3"/>
        <v>-2.0280656658447582E-2</v>
      </c>
      <c r="N66" s="163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</row>
    <row r="67" spans="1:26" ht="13.8" x14ac:dyDescent="0.25">
      <c r="A67" s="165">
        <v>44986</v>
      </c>
      <c r="B67" s="166">
        <v>1101.0999999999999</v>
      </c>
      <c r="C67" s="170">
        <f t="shared" ref="C67:C98" si="4">B67/B66-1</f>
        <v>-1.7752007136485393E-2</v>
      </c>
      <c r="D67" s="160"/>
      <c r="E67" s="160"/>
      <c r="F67" s="160"/>
      <c r="G67" s="160"/>
      <c r="H67" s="168"/>
      <c r="I67" s="169"/>
      <c r="J67" s="163"/>
      <c r="K67" s="165">
        <v>44986</v>
      </c>
      <c r="L67" s="166">
        <v>17359.75</v>
      </c>
      <c r="M67" s="170">
        <f t="shared" ref="M67:M98" si="5">L67/L66-1</f>
        <v>3.2246972512055549E-3</v>
      </c>
      <c r="N67" s="163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</row>
    <row r="68" spans="1:26" ht="13.8" x14ac:dyDescent="0.25">
      <c r="A68" s="165">
        <v>45017</v>
      </c>
      <c r="B68" s="166">
        <v>1140.0999999999999</v>
      </c>
      <c r="C68" s="170">
        <f t="shared" si="4"/>
        <v>3.541912632821731E-2</v>
      </c>
      <c r="D68" s="160"/>
      <c r="E68" s="160"/>
      <c r="F68" s="160"/>
      <c r="G68" s="160"/>
      <c r="H68" s="168"/>
      <c r="I68" s="169"/>
      <c r="J68" s="163"/>
      <c r="K68" s="165">
        <v>45017</v>
      </c>
      <c r="L68" s="166">
        <v>18065</v>
      </c>
      <c r="M68" s="170">
        <f t="shared" si="5"/>
        <v>4.0625585045867663E-2</v>
      </c>
      <c r="N68" s="163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</row>
    <row r="69" spans="1:26" ht="13.8" x14ac:dyDescent="0.25">
      <c r="A69" s="175">
        <v>45047</v>
      </c>
      <c r="B69" s="166">
        <v>1235</v>
      </c>
      <c r="C69" s="170">
        <f t="shared" si="4"/>
        <v>8.3238312428734362E-2</v>
      </c>
      <c r="D69" s="160"/>
      <c r="E69" s="160"/>
      <c r="F69" s="160"/>
      <c r="G69" s="160"/>
      <c r="H69" s="176"/>
      <c r="I69" s="169"/>
      <c r="J69" s="163"/>
      <c r="K69" s="175">
        <v>45047</v>
      </c>
      <c r="L69" s="166">
        <v>18534.400000000001</v>
      </c>
      <c r="M69" s="170">
        <f t="shared" si="5"/>
        <v>2.5983946858566309E-2</v>
      </c>
      <c r="N69" s="163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</row>
    <row r="70" spans="1:26" ht="13.8" x14ac:dyDescent="0.25">
      <c r="A70" s="165">
        <v>45078</v>
      </c>
      <c r="B70" s="166">
        <v>1306.9000000000001</v>
      </c>
      <c r="C70" s="170">
        <f t="shared" si="4"/>
        <v>5.8218623481781417E-2</v>
      </c>
      <c r="D70" s="160"/>
      <c r="E70" s="160"/>
      <c r="F70" s="160"/>
      <c r="G70" s="160"/>
      <c r="H70" s="168"/>
      <c r="I70" s="169"/>
      <c r="J70" s="163"/>
      <c r="K70" s="165">
        <v>45078</v>
      </c>
      <c r="L70" s="166">
        <v>19189.05</v>
      </c>
      <c r="M70" s="170">
        <f t="shared" si="5"/>
        <v>3.5320808874309328E-2</v>
      </c>
      <c r="N70" s="163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</row>
    <row r="71" spans="1:26" ht="13.8" x14ac:dyDescent="0.25">
      <c r="A71" s="165">
        <v>45108</v>
      </c>
      <c r="B71" s="166">
        <v>1282.1500000000001</v>
      </c>
      <c r="C71" s="170">
        <f t="shared" si="4"/>
        <v>-1.8937944754763181E-2</v>
      </c>
      <c r="D71" s="160"/>
      <c r="E71" s="160"/>
      <c r="F71" s="160"/>
      <c r="G71" s="160"/>
      <c r="H71" s="168"/>
      <c r="I71" s="169"/>
      <c r="J71" s="163"/>
      <c r="K71" s="165">
        <v>45108</v>
      </c>
      <c r="L71" s="166">
        <v>19753.8</v>
      </c>
      <c r="M71" s="170">
        <f t="shared" si="5"/>
        <v>2.9430847280089489E-2</v>
      </c>
      <c r="N71" s="163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</row>
    <row r="72" spans="1:26" ht="13.8" x14ac:dyDescent="0.25">
      <c r="A72" s="165">
        <v>45139</v>
      </c>
      <c r="B72" s="166">
        <v>1292.55</v>
      </c>
      <c r="C72" s="170">
        <f t="shared" si="4"/>
        <v>8.1113754240922376E-3</v>
      </c>
      <c r="D72" s="160"/>
      <c r="E72" s="160"/>
      <c r="F72" s="160"/>
      <c r="G72" s="160"/>
      <c r="H72" s="168"/>
      <c r="I72" s="169"/>
      <c r="J72" s="163"/>
      <c r="K72" s="165">
        <v>45139</v>
      </c>
      <c r="L72" s="166">
        <v>19253.8</v>
      </c>
      <c r="M72" s="170">
        <f t="shared" si="5"/>
        <v>-2.5311585618969512E-2</v>
      </c>
      <c r="N72" s="163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</row>
    <row r="73" spans="1:26" ht="13.8" x14ac:dyDescent="0.25">
      <c r="A73" s="165">
        <v>45170</v>
      </c>
      <c r="B73" s="166">
        <v>1305.4000000000001</v>
      </c>
      <c r="C73" s="170">
        <f t="shared" si="4"/>
        <v>9.9415883331399613E-3</v>
      </c>
      <c r="D73" s="160"/>
      <c r="E73" s="160"/>
      <c r="F73" s="160"/>
      <c r="G73" s="160"/>
      <c r="H73" s="168"/>
      <c r="I73" s="169"/>
      <c r="J73" s="163"/>
      <c r="K73" s="165">
        <v>45170</v>
      </c>
      <c r="L73" s="166">
        <v>19638.3</v>
      </c>
      <c r="M73" s="170">
        <f t="shared" si="5"/>
        <v>1.9970083827608009E-2</v>
      </c>
      <c r="N73" s="163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</row>
    <row r="74" spans="1:26" ht="13.8" x14ac:dyDescent="0.25">
      <c r="A74" s="165">
        <v>45200</v>
      </c>
      <c r="B74" s="166">
        <v>1367.85</v>
      </c>
      <c r="C74" s="170">
        <f t="shared" si="4"/>
        <v>4.7839742607629798E-2</v>
      </c>
      <c r="D74" s="160"/>
      <c r="E74" s="160"/>
      <c r="F74" s="160"/>
      <c r="G74" s="160"/>
      <c r="H74" s="168"/>
      <c r="I74" s="169"/>
      <c r="J74" s="163"/>
      <c r="K74" s="165">
        <v>45200</v>
      </c>
      <c r="L74" s="166">
        <v>19079.599999999999</v>
      </c>
      <c r="M74" s="170">
        <f t="shared" si="5"/>
        <v>-2.844950937708457E-2</v>
      </c>
      <c r="N74" s="163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</row>
    <row r="75" spans="1:26" ht="13.8" x14ac:dyDescent="0.25">
      <c r="A75" s="165">
        <v>45231</v>
      </c>
      <c r="B75" s="166">
        <v>1435.25</v>
      </c>
      <c r="C75" s="170">
        <f t="shared" si="4"/>
        <v>4.9274408743648968E-2</v>
      </c>
      <c r="D75" s="160"/>
      <c r="E75" s="160"/>
      <c r="F75" s="160"/>
      <c r="G75" s="160"/>
      <c r="H75" s="168"/>
      <c r="I75" s="169"/>
      <c r="J75" s="163"/>
      <c r="K75" s="165">
        <v>45231</v>
      </c>
      <c r="L75" s="166">
        <v>20133.150000000001</v>
      </c>
      <c r="M75" s="170">
        <f t="shared" si="5"/>
        <v>5.5218662865049728E-2</v>
      </c>
      <c r="N75" s="163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</row>
    <row r="76" spans="1:26" ht="13.8" x14ac:dyDescent="0.25">
      <c r="A76" s="165">
        <v>45261</v>
      </c>
      <c r="B76" s="166">
        <v>1432.6</v>
      </c>
      <c r="C76" s="170">
        <f t="shared" si="4"/>
        <v>-1.8463682285316807E-3</v>
      </c>
      <c r="D76" s="160"/>
      <c r="E76" s="160"/>
      <c r="F76" s="160"/>
      <c r="G76" s="160"/>
      <c r="H76" s="168"/>
      <c r="I76" s="169"/>
      <c r="J76" s="163"/>
      <c r="K76" s="165">
        <v>45261</v>
      </c>
      <c r="L76" s="166">
        <v>21731.4</v>
      </c>
      <c r="M76" s="170">
        <f t="shared" si="5"/>
        <v>7.9384001013254268E-2</v>
      </c>
      <c r="N76" s="163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</row>
    <row r="77" spans="1:26" ht="13.8" x14ac:dyDescent="0.25">
      <c r="A77" s="165">
        <v>45292</v>
      </c>
      <c r="B77" s="166">
        <v>1401.15</v>
      </c>
      <c r="C77" s="170">
        <f t="shared" si="4"/>
        <v>-2.1953092279770936E-2</v>
      </c>
      <c r="D77" s="160"/>
      <c r="E77" s="160"/>
      <c r="F77" s="160"/>
      <c r="G77" s="160"/>
      <c r="H77" s="168"/>
      <c r="I77" s="169"/>
      <c r="J77" s="163"/>
      <c r="K77" s="165">
        <v>45292</v>
      </c>
      <c r="L77" s="166">
        <v>21725.7</v>
      </c>
      <c r="M77" s="170">
        <f t="shared" si="5"/>
        <v>-2.6229327148741266E-4</v>
      </c>
      <c r="N77" s="163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</row>
    <row r="78" spans="1:26" ht="13.8" x14ac:dyDescent="0.25">
      <c r="A78" s="165">
        <v>45323</v>
      </c>
      <c r="B78" s="166">
        <v>1552.55</v>
      </c>
      <c r="C78" s="170">
        <f t="shared" si="4"/>
        <v>0.10805409841915559</v>
      </c>
      <c r="D78" s="160"/>
      <c r="E78" s="160"/>
      <c r="F78" s="160"/>
      <c r="G78" s="160"/>
      <c r="H78" s="168"/>
      <c r="I78" s="169"/>
      <c r="J78" s="163"/>
      <c r="K78" s="165">
        <v>45323</v>
      </c>
      <c r="L78" s="166">
        <v>21982.799999999999</v>
      </c>
      <c r="M78" s="170">
        <f t="shared" si="5"/>
        <v>1.1833910990209695E-2</v>
      </c>
      <c r="N78" s="163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</row>
    <row r="79" spans="1:26" ht="13.8" x14ac:dyDescent="0.25">
      <c r="A79" s="165">
        <v>45352</v>
      </c>
      <c r="B79" s="166">
        <v>1500.25</v>
      </c>
      <c r="C79" s="170">
        <f t="shared" si="4"/>
        <v>-3.3686515732182509E-2</v>
      </c>
      <c r="D79" s="160"/>
      <c r="E79" s="160"/>
      <c r="F79" s="160"/>
      <c r="G79" s="160"/>
      <c r="H79" s="168"/>
      <c r="I79" s="169"/>
      <c r="J79" s="163"/>
      <c r="K79" s="165">
        <v>45352</v>
      </c>
      <c r="L79" s="166">
        <v>22326.9</v>
      </c>
      <c r="M79" s="170">
        <f t="shared" si="5"/>
        <v>1.5653147005840973E-2</v>
      </c>
      <c r="N79" s="163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</row>
    <row r="80" spans="1:26" ht="13.8" x14ac:dyDescent="0.25">
      <c r="A80" s="165">
        <v>45383</v>
      </c>
      <c r="B80" s="166">
        <v>1436.55</v>
      </c>
      <c r="C80" s="170">
        <f t="shared" si="4"/>
        <v>-4.2459590068322006E-2</v>
      </c>
      <c r="D80" s="160"/>
      <c r="E80" s="160"/>
      <c r="F80" s="160"/>
      <c r="G80" s="160"/>
      <c r="H80" s="168"/>
      <c r="I80" s="169"/>
      <c r="J80" s="163"/>
      <c r="K80" s="165">
        <v>45383</v>
      </c>
      <c r="L80" s="166">
        <v>22604.85</v>
      </c>
      <c r="M80" s="170">
        <f t="shared" si="5"/>
        <v>1.2449108474530624E-2</v>
      </c>
      <c r="N80" s="163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</row>
    <row r="81" spans="1:26" ht="13.8" x14ac:dyDescent="0.25">
      <c r="A81" s="175">
        <v>45413</v>
      </c>
      <c r="B81" s="166">
        <v>1386.4</v>
      </c>
      <c r="C81" s="170">
        <f t="shared" si="4"/>
        <v>-3.491002749643235E-2</v>
      </c>
      <c r="D81" s="160"/>
      <c r="E81" s="160"/>
      <c r="F81" s="160"/>
      <c r="G81" s="160"/>
      <c r="H81" s="176"/>
      <c r="I81" s="169"/>
      <c r="J81" s="163"/>
      <c r="K81" s="175">
        <v>45413</v>
      </c>
      <c r="L81" s="166">
        <v>22530.7</v>
      </c>
      <c r="M81" s="170">
        <f t="shared" si="5"/>
        <v>-3.2802694996869608E-3</v>
      </c>
      <c r="N81" s="163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</row>
    <row r="82" spans="1:26" ht="13.8" x14ac:dyDescent="0.25">
      <c r="A82" s="165">
        <v>45444</v>
      </c>
      <c r="B82" s="166">
        <v>1491.95</v>
      </c>
      <c r="C82" s="170">
        <f t="shared" si="4"/>
        <v>7.6132429313329419E-2</v>
      </c>
      <c r="D82" s="160"/>
      <c r="E82" s="160"/>
      <c r="F82" s="160"/>
      <c r="G82" s="160"/>
      <c r="H82" s="168"/>
      <c r="I82" s="169"/>
      <c r="J82" s="163"/>
      <c r="K82" s="165">
        <v>45444</v>
      </c>
      <c r="L82" s="166">
        <v>24010.6</v>
      </c>
      <c r="M82" s="170">
        <f t="shared" si="5"/>
        <v>6.5683711558007341E-2</v>
      </c>
      <c r="N82" s="163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</row>
    <row r="83" spans="1:26" ht="13.8" x14ac:dyDescent="0.25">
      <c r="A83" s="165">
        <v>45474</v>
      </c>
      <c r="B83" s="166">
        <v>1753.65</v>
      </c>
      <c r="C83" s="170">
        <f t="shared" si="4"/>
        <v>0.17540802305707293</v>
      </c>
      <c r="D83" s="160"/>
      <c r="E83" s="160"/>
      <c r="F83" s="160"/>
      <c r="G83" s="160"/>
      <c r="H83" s="168"/>
      <c r="I83" s="169"/>
      <c r="J83" s="163"/>
      <c r="K83" s="165">
        <v>45474</v>
      </c>
      <c r="L83" s="166">
        <v>24951.15</v>
      </c>
      <c r="M83" s="170">
        <f t="shared" si="5"/>
        <v>3.917228224200997E-2</v>
      </c>
      <c r="N83" s="163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</row>
    <row r="84" spans="1:26" ht="13.8" x14ac:dyDescent="0.25">
      <c r="A84" s="165">
        <v>45505</v>
      </c>
      <c r="B84" s="166">
        <v>1850.3</v>
      </c>
      <c r="C84" s="170">
        <f t="shared" si="4"/>
        <v>5.5113620163658616E-2</v>
      </c>
      <c r="D84" s="160"/>
      <c r="E84" s="160"/>
      <c r="F84" s="160"/>
      <c r="G84" s="160"/>
      <c r="H84" s="168"/>
      <c r="I84" s="169"/>
      <c r="J84" s="163"/>
      <c r="K84" s="165">
        <v>45505</v>
      </c>
      <c r="L84" s="166">
        <v>25235.9</v>
      </c>
      <c r="M84" s="170">
        <f t="shared" si="5"/>
        <v>1.141229963348378E-2</v>
      </c>
      <c r="N84" s="163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</row>
    <row r="85" spans="1:26" ht="13.8" x14ac:dyDescent="0.25">
      <c r="A85" s="165">
        <v>45536</v>
      </c>
      <c r="B85" s="166">
        <v>1844</v>
      </c>
      <c r="C85" s="170">
        <f t="shared" si="4"/>
        <v>-3.4048532670377663E-3</v>
      </c>
      <c r="D85" s="160"/>
      <c r="E85" s="160"/>
      <c r="F85" s="160"/>
      <c r="G85" s="160"/>
      <c r="H85" s="168"/>
      <c r="I85" s="169"/>
      <c r="J85" s="163"/>
      <c r="K85" s="165">
        <v>45536</v>
      </c>
      <c r="L85" s="166">
        <v>25810.85</v>
      </c>
      <c r="M85" s="170">
        <f t="shared" si="5"/>
        <v>2.2783019428670892E-2</v>
      </c>
      <c r="N85" s="163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</row>
    <row r="86" spans="1:26" ht="13.8" x14ac:dyDescent="0.25">
      <c r="A86" s="165">
        <v>45566</v>
      </c>
      <c r="B86" s="166">
        <v>1622.15</v>
      </c>
      <c r="C86" s="170">
        <f t="shared" si="4"/>
        <v>-0.12030911062906724</v>
      </c>
      <c r="D86" s="160"/>
      <c r="E86" s="160"/>
      <c r="F86" s="160"/>
      <c r="G86" s="160"/>
      <c r="H86" s="168"/>
      <c r="I86" s="169"/>
      <c r="J86" s="163"/>
      <c r="K86" s="165">
        <v>45566</v>
      </c>
      <c r="L86" s="166">
        <v>24205.35</v>
      </c>
      <c r="M86" s="170">
        <f t="shared" si="5"/>
        <v>-6.2202523357425266E-2</v>
      </c>
      <c r="N86" s="163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</row>
    <row r="87" spans="1:26" ht="13.8" x14ac:dyDescent="0.25">
      <c r="A87" s="165">
        <v>45597</v>
      </c>
      <c r="B87" s="166">
        <v>1437.75</v>
      </c>
      <c r="C87" s="170">
        <f t="shared" si="4"/>
        <v>-0.11367629380760103</v>
      </c>
      <c r="D87" s="160"/>
      <c r="E87" s="160"/>
      <c r="F87" s="160"/>
      <c r="G87" s="160"/>
      <c r="H87" s="168"/>
      <c r="I87" s="169"/>
      <c r="J87" s="163"/>
      <c r="K87" s="165">
        <v>45597</v>
      </c>
      <c r="L87" s="166">
        <v>24131.1</v>
      </c>
      <c r="M87" s="170">
        <f t="shared" si="5"/>
        <v>-3.0675036717089377E-3</v>
      </c>
      <c r="N87" s="163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</row>
    <row r="88" spans="1:26" ht="13.8" x14ac:dyDescent="0.25">
      <c r="A88" s="165">
        <v>45627</v>
      </c>
      <c r="B88" s="166">
        <v>1390.4</v>
      </c>
      <c r="C88" s="170">
        <f t="shared" si="4"/>
        <v>-3.2933402886454521E-2</v>
      </c>
      <c r="D88" s="160"/>
      <c r="E88" s="160"/>
      <c r="F88" s="160"/>
      <c r="G88" s="160"/>
      <c r="H88" s="168"/>
      <c r="I88" s="169"/>
      <c r="J88" s="163"/>
      <c r="K88" s="165">
        <v>45627</v>
      </c>
      <c r="L88" s="166">
        <v>23644.799999999999</v>
      </c>
      <c r="M88" s="170">
        <f t="shared" si="5"/>
        <v>-2.0152417419844082E-2</v>
      </c>
      <c r="N88" s="163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</row>
    <row r="89" spans="1:26" ht="13.8" x14ac:dyDescent="0.25">
      <c r="A89" s="165">
        <v>45658</v>
      </c>
      <c r="B89" s="166">
        <v>1483.6</v>
      </c>
      <c r="C89" s="170">
        <f t="shared" si="4"/>
        <v>6.7031070195626929E-2</v>
      </c>
      <c r="D89" s="160"/>
      <c r="E89" s="160"/>
      <c r="F89" s="160"/>
      <c r="G89" s="160"/>
      <c r="H89" s="168"/>
      <c r="I89" s="169"/>
      <c r="J89" s="163"/>
      <c r="K89" s="165">
        <v>45658</v>
      </c>
      <c r="L89" s="166">
        <v>23508.400000000001</v>
      </c>
      <c r="M89" s="170">
        <f t="shared" si="5"/>
        <v>-5.7687102449586192E-3</v>
      </c>
      <c r="N89" s="163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</row>
    <row r="90" spans="1:26" ht="13.8" x14ac:dyDescent="0.25">
      <c r="A90" s="165">
        <v>45689</v>
      </c>
      <c r="B90" s="166">
        <v>1430.5</v>
      </c>
      <c r="C90" s="170">
        <f t="shared" si="4"/>
        <v>-3.5791318414666984E-2</v>
      </c>
      <c r="D90" s="160"/>
      <c r="E90" s="160"/>
      <c r="F90" s="160"/>
      <c r="G90" s="160"/>
      <c r="H90" s="168"/>
      <c r="I90" s="169"/>
      <c r="J90" s="163"/>
      <c r="K90" s="165">
        <v>45689</v>
      </c>
      <c r="L90" s="166">
        <v>22124.7</v>
      </c>
      <c r="M90" s="170">
        <f t="shared" si="5"/>
        <v>-5.8859811811948104E-2</v>
      </c>
      <c r="N90" s="163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</row>
    <row r="91" spans="1:26" ht="13.8" x14ac:dyDescent="0.25">
      <c r="A91" s="165">
        <v>45717</v>
      </c>
      <c r="B91" s="166">
        <v>1547.85</v>
      </c>
      <c r="C91" s="170">
        <f t="shared" si="4"/>
        <v>8.2034253757427456E-2</v>
      </c>
      <c r="D91" s="160"/>
      <c r="E91" s="160"/>
      <c r="F91" s="160"/>
      <c r="G91" s="160"/>
      <c r="H91" s="168"/>
      <c r="I91" s="169"/>
      <c r="J91" s="163"/>
      <c r="K91" s="165">
        <v>45717</v>
      </c>
      <c r="L91" s="166">
        <v>23519.35</v>
      </c>
      <c r="M91" s="170">
        <f t="shared" si="5"/>
        <v>6.3035882972424462E-2</v>
      </c>
      <c r="N91" s="163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</row>
    <row r="92" spans="1:26" ht="13.8" x14ac:dyDescent="0.25">
      <c r="A92" s="165">
        <v>45748</v>
      </c>
      <c r="B92" s="166">
        <v>1765.8</v>
      </c>
      <c r="C92" s="170">
        <f t="shared" si="4"/>
        <v>0.14080821785056696</v>
      </c>
      <c r="D92" s="160"/>
      <c r="E92" s="160"/>
      <c r="F92" s="160"/>
      <c r="G92" s="160"/>
      <c r="H92" s="168"/>
      <c r="I92" s="169"/>
      <c r="J92" s="163"/>
      <c r="K92" s="165">
        <v>45748</v>
      </c>
      <c r="L92" s="166">
        <v>24334.2</v>
      </c>
      <c r="M92" s="170">
        <f t="shared" si="5"/>
        <v>3.4645940470293679E-2</v>
      </c>
      <c r="N92" s="163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</row>
    <row r="93" spans="1:26" ht="13.8" x14ac:dyDescent="0.25">
      <c r="A93" s="175">
        <v>45778</v>
      </c>
      <c r="B93" s="166">
        <v>1812.2</v>
      </c>
      <c r="C93" s="170">
        <f t="shared" si="4"/>
        <v>2.6277041567561499E-2</v>
      </c>
      <c r="D93" s="160"/>
      <c r="E93" s="160"/>
      <c r="F93" s="160"/>
      <c r="G93" s="160"/>
      <c r="H93" s="176"/>
      <c r="I93" s="169"/>
      <c r="J93" s="163"/>
      <c r="K93" s="175">
        <v>45778</v>
      </c>
      <c r="L93" s="166">
        <v>24750.7</v>
      </c>
      <c r="M93" s="170">
        <f t="shared" si="5"/>
        <v>1.7115828751304685E-2</v>
      </c>
      <c r="N93" s="163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</row>
    <row r="94" spans="1:26" ht="13.8" x14ac:dyDescent="0.25">
      <c r="A94" s="165">
        <v>45809</v>
      </c>
      <c r="B94" s="166">
        <v>1838.3</v>
      </c>
      <c r="C94" s="170">
        <f t="shared" si="4"/>
        <v>1.440238384284287E-2</v>
      </c>
      <c r="D94" s="160"/>
      <c r="E94" s="160"/>
      <c r="F94" s="160"/>
      <c r="G94" s="160"/>
      <c r="H94" s="168"/>
      <c r="I94" s="169"/>
      <c r="J94" s="163"/>
      <c r="K94" s="165">
        <v>45809</v>
      </c>
      <c r="L94" s="166">
        <v>25517.05</v>
      </c>
      <c r="M94" s="170">
        <f t="shared" si="5"/>
        <v>3.0962760649193788E-2</v>
      </c>
      <c r="N94" s="163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</row>
    <row r="95" spans="1:26" ht="13.8" x14ac:dyDescent="0.25">
      <c r="A95" s="165">
        <v>45839</v>
      </c>
      <c r="B95" s="166">
        <v>1840.7</v>
      </c>
      <c r="C95" s="170">
        <f t="shared" si="4"/>
        <v>1.3055540444977254E-3</v>
      </c>
      <c r="D95" s="160"/>
      <c r="E95" s="160"/>
      <c r="F95" s="160"/>
      <c r="G95" s="160"/>
      <c r="H95" s="168"/>
      <c r="I95" s="169"/>
      <c r="J95" s="163"/>
      <c r="K95" s="165">
        <v>45839</v>
      </c>
      <c r="L95" s="166">
        <v>24768.35</v>
      </c>
      <c r="M95" s="170">
        <f t="shared" si="5"/>
        <v>-2.9341166004691055E-2</v>
      </c>
      <c r="N95" s="163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</row>
    <row r="96" spans="1:26" ht="13.8" x14ac:dyDescent="0.25">
      <c r="A96" s="165">
        <v>45870</v>
      </c>
      <c r="B96" s="166">
        <v>1805.5</v>
      </c>
      <c r="C96" s="170">
        <f t="shared" si="4"/>
        <v>-1.9123159667517764E-2</v>
      </c>
      <c r="D96" s="160"/>
      <c r="E96" s="160"/>
      <c r="F96" s="160"/>
      <c r="G96" s="160"/>
      <c r="H96" s="168"/>
      <c r="I96" s="169"/>
      <c r="J96" s="163"/>
      <c r="K96" s="165">
        <v>45870</v>
      </c>
      <c r="L96" s="166">
        <v>24426.85</v>
      </c>
      <c r="M96" s="170">
        <f t="shared" si="5"/>
        <v>-1.3787757359694952E-2</v>
      </c>
      <c r="N96" s="163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</row>
    <row r="97" spans="1:26" ht="13.8" x14ac:dyDescent="0.25">
      <c r="A97" s="165">
        <v>45901</v>
      </c>
      <c r="B97" s="166">
        <v>1790.6</v>
      </c>
      <c r="C97" s="170">
        <f t="shared" si="4"/>
        <v>-8.2525616172806071E-3</v>
      </c>
      <c r="D97" s="160"/>
      <c r="E97" s="160"/>
      <c r="F97" s="160"/>
      <c r="G97" s="160"/>
      <c r="H97" s="168"/>
      <c r="I97" s="169"/>
      <c r="J97" s="163"/>
      <c r="K97" s="165">
        <v>45901</v>
      </c>
      <c r="L97" s="166">
        <v>24611.1</v>
      </c>
      <c r="M97" s="170">
        <f t="shared" si="5"/>
        <v>7.5429291947182175E-3</v>
      </c>
      <c r="N97" s="163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</row>
    <row r="98" spans="1:26" ht="13.8" x14ac:dyDescent="0.25">
      <c r="A98" s="165">
        <v>45931</v>
      </c>
      <c r="B98" s="166">
        <v>1955.7</v>
      </c>
      <c r="C98" s="170">
        <f t="shared" si="4"/>
        <v>9.2203730593097388E-2</v>
      </c>
      <c r="D98" s="160"/>
      <c r="E98" s="160"/>
      <c r="F98" s="160"/>
      <c r="G98" s="160"/>
      <c r="H98" s="168"/>
      <c r="I98" s="169"/>
      <c r="J98" s="163"/>
      <c r="K98" s="165">
        <v>45931</v>
      </c>
      <c r="L98" s="166">
        <v>25722.1</v>
      </c>
      <c r="M98" s="170">
        <f t="shared" si="5"/>
        <v>4.5142232569856722E-2</v>
      </c>
      <c r="N98" s="163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</row>
    <row r="99" spans="1:26" ht="13.8" x14ac:dyDescent="0.25">
      <c r="A99" s="165">
        <v>45962</v>
      </c>
      <c r="B99" s="166">
        <v>1966</v>
      </c>
      <c r="C99" s="170">
        <f t="shared" ref="C99:C130" si="6">B99/B98-1</f>
        <v>5.2666564401493421E-3</v>
      </c>
      <c r="D99" s="160"/>
      <c r="E99" s="160"/>
      <c r="F99" s="160"/>
      <c r="G99" s="160"/>
      <c r="H99" s="168"/>
      <c r="I99" s="169"/>
      <c r="J99" s="163"/>
      <c r="K99" s="165">
        <v>45962</v>
      </c>
      <c r="L99" s="166">
        <v>26202.95</v>
      </c>
      <c r="M99" s="170">
        <f t="shared" ref="M99:M130" si="7">L99/L98-1</f>
        <v>1.8694041310779452E-2</v>
      </c>
      <c r="N99" s="163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</row>
    <row r="100" spans="1:26" ht="13.8" x14ac:dyDescent="0.25">
      <c r="A100" s="165">
        <v>45992</v>
      </c>
      <c r="B100" s="166">
        <v>2034.9</v>
      </c>
      <c r="C100" s="170">
        <f t="shared" si="6"/>
        <v>3.5045778229908509E-2</v>
      </c>
      <c r="D100" s="160"/>
      <c r="E100" s="160"/>
      <c r="F100" s="160"/>
      <c r="G100" s="160"/>
      <c r="H100" s="168"/>
      <c r="I100" s="169"/>
      <c r="J100" s="163"/>
      <c r="K100" s="165">
        <v>45992</v>
      </c>
      <c r="L100" s="166">
        <v>26129.599999999999</v>
      </c>
      <c r="M100" s="170">
        <f t="shared" si="7"/>
        <v>-2.7993031318993555E-3</v>
      </c>
      <c r="N100" s="163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</row>
    <row r="101" spans="1:26" ht="13.8" x14ac:dyDescent="0.25">
      <c r="A101" s="165">
        <v>46023</v>
      </c>
      <c r="B101" s="166">
        <v>1998.5</v>
      </c>
      <c r="C101" s="170">
        <f t="shared" si="6"/>
        <v>-1.7887856897144894E-2</v>
      </c>
      <c r="D101" s="160"/>
      <c r="E101" s="160"/>
      <c r="F101" s="160"/>
      <c r="G101" s="160"/>
      <c r="H101" s="168"/>
      <c r="I101" s="169"/>
      <c r="J101" s="163"/>
      <c r="K101" s="165">
        <v>46023</v>
      </c>
      <c r="L101" s="166">
        <v>25320.65</v>
      </c>
      <c r="M101" s="170">
        <f t="shared" si="7"/>
        <v>-3.0959142122343852E-2</v>
      </c>
      <c r="N101" s="163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</row>
    <row r="102" spans="1:26" ht="13.8" x14ac:dyDescent="0.25">
      <c r="A102" s="165">
        <v>46054</v>
      </c>
      <c r="B102" s="166">
        <v>2037.2</v>
      </c>
      <c r="C102" s="170">
        <f t="shared" si="6"/>
        <v>1.9364523392544353E-2</v>
      </c>
      <c r="D102" s="160"/>
      <c r="E102" s="160"/>
      <c r="F102" s="160"/>
      <c r="G102" s="160"/>
      <c r="H102" s="168"/>
      <c r="I102" s="169"/>
      <c r="J102" s="163"/>
      <c r="K102" s="165">
        <v>46054</v>
      </c>
      <c r="L102" s="166">
        <v>25178.65</v>
      </c>
      <c r="M102" s="170">
        <f t="shared" si="7"/>
        <v>-5.6080708828565307E-3</v>
      </c>
      <c r="N102" s="163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</row>
    <row r="103" spans="1:26" ht="13.8" x14ac:dyDescent="0.25">
      <c r="A103" s="165">
        <v>46082</v>
      </c>
      <c r="B103" s="166">
        <v>1777.3</v>
      </c>
      <c r="C103" s="170">
        <f t="shared" si="6"/>
        <v>-0.12757706656194778</v>
      </c>
      <c r="D103" s="160"/>
      <c r="E103" s="160"/>
      <c r="F103" s="160"/>
      <c r="G103" s="160"/>
      <c r="H103" s="168"/>
      <c r="I103" s="169"/>
      <c r="J103" s="163"/>
      <c r="K103" s="165">
        <v>46082</v>
      </c>
      <c r="L103" s="166">
        <v>22331.4</v>
      </c>
      <c r="M103" s="170">
        <f t="shared" si="7"/>
        <v>-0.11308191662380629</v>
      </c>
      <c r="N103" s="163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</row>
    <row r="104" spans="1:26" ht="13.8" x14ac:dyDescent="0.25">
      <c r="A104" s="165">
        <v>46113</v>
      </c>
      <c r="B104" s="166">
        <v>1819</v>
      </c>
      <c r="C104" s="170">
        <f t="shared" si="6"/>
        <v>2.3462555561807319E-2</v>
      </c>
      <c r="D104" s="160"/>
      <c r="E104" s="160"/>
      <c r="F104" s="160"/>
      <c r="G104" s="160"/>
      <c r="H104" s="168"/>
      <c r="I104" s="169"/>
      <c r="J104" s="163"/>
      <c r="K104" s="165">
        <v>46113</v>
      </c>
      <c r="L104" s="166">
        <v>23997.55</v>
      </c>
      <c r="M104" s="170">
        <f t="shared" si="7"/>
        <v>7.4610190135862453E-2</v>
      </c>
      <c r="N104" s="163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</row>
    <row r="105" spans="1:26" ht="13.8" x14ac:dyDescent="0.25">
      <c r="A105" s="175">
        <v>46143</v>
      </c>
      <c r="B105" s="166">
        <v>1830.1</v>
      </c>
      <c r="C105" s="170">
        <f t="shared" si="6"/>
        <v>6.1022539857062963E-3</v>
      </c>
      <c r="D105" s="160"/>
      <c r="E105" s="160"/>
      <c r="F105" s="160"/>
      <c r="G105" s="160"/>
      <c r="H105" s="176"/>
      <c r="I105" s="169"/>
      <c r="J105" s="163"/>
      <c r="K105" s="175">
        <v>46143</v>
      </c>
      <c r="L105" s="166">
        <v>23547.75</v>
      </c>
      <c r="M105" s="170">
        <f t="shared" si="7"/>
        <v>-1.8743580073799171E-2</v>
      </c>
      <c r="N105" s="163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</row>
    <row r="106" spans="1:26" ht="13.8" x14ac:dyDescent="0.25">
      <c r="A106" s="165">
        <v>46174</v>
      </c>
      <c r="B106" s="166">
        <v>1765.7</v>
      </c>
      <c r="C106" s="170">
        <f t="shared" si="6"/>
        <v>-3.5189333916179399E-2</v>
      </c>
      <c r="D106" s="160"/>
      <c r="E106" s="160"/>
      <c r="F106" s="160"/>
      <c r="G106" s="160"/>
      <c r="H106" s="168"/>
      <c r="I106" s="169"/>
      <c r="J106" s="163"/>
      <c r="K106" s="165">
        <v>46174</v>
      </c>
      <c r="L106" s="166">
        <v>23382.6</v>
      </c>
      <c r="M106" s="170">
        <f t="shared" si="7"/>
        <v>-7.0134089244195952E-3</v>
      </c>
      <c r="N106" s="163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</row>
    <row r="107" spans="1:26" ht="13.8" x14ac:dyDescent="0.25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</row>
    <row r="108" spans="1:26" ht="13.8" x14ac:dyDescent="0.25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</row>
    <row r="109" spans="1:26" ht="13.8" x14ac:dyDescent="0.25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</row>
    <row r="110" spans="1:26" ht="13.8" x14ac:dyDescent="0.25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</row>
    <row r="111" spans="1:26" ht="13.8" x14ac:dyDescent="0.25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</row>
    <row r="112" spans="1:26" ht="13.8" x14ac:dyDescent="0.25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</row>
    <row r="113" spans="1:26" ht="13.8" x14ac:dyDescent="0.25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</row>
    <row r="114" spans="1:26" ht="13.8" x14ac:dyDescent="0.25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</row>
    <row r="115" spans="1:26" ht="13.8" x14ac:dyDescent="0.25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</row>
    <row r="116" spans="1:26" ht="13.8" x14ac:dyDescent="0.25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</row>
    <row r="117" spans="1:26" ht="13.8" x14ac:dyDescent="0.25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</row>
    <row r="118" spans="1:26" ht="13.8" x14ac:dyDescent="0.25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</row>
    <row r="119" spans="1:26" ht="13.8" x14ac:dyDescent="0.25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</row>
    <row r="120" spans="1:26" ht="13.8" x14ac:dyDescent="0.25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</row>
    <row r="121" spans="1:26" ht="13.8" x14ac:dyDescent="0.25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</row>
    <row r="122" spans="1:26" ht="13.8" x14ac:dyDescent="0.25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</row>
    <row r="123" spans="1:26" ht="13.8" x14ac:dyDescent="0.25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</row>
    <row r="124" spans="1:26" ht="13.8" x14ac:dyDescent="0.25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</row>
    <row r="125" spans="1:26" ht="13.8" x14ac:dyDescent="0.25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</row>
    <row r="126" spans="1:26" ht="13.8" x14ac:dyDescent="0.25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</row>
    <row r="127" spans="1:26" ht="13.8" x14ac:dyDescent="0.25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</row>
    <row r="128" spans="1:26" ht="13.8" x14ac:dyDescent="0.25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</row>
    <row r="129" spans="1:26" ht="13.8" x14ac:dyDescent="0.25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</row>
    <row r="130" spans="1:26" ht="13.8" x14ac:dyDescent="0.25">
      <c r="A130" s="160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</row>
    <row r="131" spans="1:26" ht="13.8" x14ac:dyDescent="0.25">
      <c r="A131" s="160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</row>
    <row r="132" spans="1:26" ht="13.8" x14ac:dyDescent="0.25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</row>
    <row r="133" spans="1:26" ht="13.8" x14ac:dyDescent="0.25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</row>
    <row r="134" spans="1:26" ht="13.8" x14ac:dyDescent="0.25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</row>
    <row r="135" spans="1:26" ht="13.8" x14ac:dyDescent="0.25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</row>
    <row r="136" spans="1:26" ht="13.8" x14ac:dyDescent="0.25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</row>
    <row r="137" spans="1:26" ht="13.8" x14ac:dyDescent="0.25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</row>
    <row r="138" spans="1:26" ht="13.8" x14ac:dyDescent="0.25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</row>
    <row r="139" spans="1:26" ht="13.8" x14ac:dyDescent="0.25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</row>
    <row r="140" spans="1:26" ht="13.8" x14ac:dyDescent="0.25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</row>
    <row r="141" spans="1:26" ht="13.8" x14ac:dyDescent="0.25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</row>
    <row r="142" spans="1:26" ht="13.8" x14ac:dyDescent="0.25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</row>
    <row r="143" spans="1:26" ht="13.8" x14ac:dyDescent="0.25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</row>
    <row r="144" spans="1:26" ht="13.8" x14ac:dyDescent="0.25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</row>
    <row r="145" spans="1:26" ht="13.8" x14ac:dyDescent="0.25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</row>
    <row r="146" spans="1:26" ht="13.8" x14ac:dyDescent="0.25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</row>
    <row r="147" spans="1:26" ht="13.8" x14ac:dyDescent="0.25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</row>
    <row r="148" spans="1:26" ht="13.8" x14ac:dyDescent="0.25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</row>
    <row r="149" spans="1:26" ht="13.8" x14ac:dyDescent="0.25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</row>
    <row r="150" spans="1:26" ht="13.8" x14ac:dyDescent="0.25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</row>
    <row r="151" spans="1:26" ht="13.8" x14ac:dyDescent="0.25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</row>
    <row r="152" spans="1:26" ht="13.8" x14ac:dyDescent="0.25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</row>
    <row r="153" spans="1:26" ht="13.8" x14ac:dyDescent="0.25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</row>
    <row r="154" spans="1:26" ht="13.8" x14ac:dyDescent="0.25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</row>
    <row r="155" spans="1:26" ht="13.8" x14ac:dyDescent="0.25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</row>
    <row r="156" spans="1:26" ht="13.8" x14ac:dyDescent="0.25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</row>
    <row r="157" spans="1:26" ht="13.8" x14ac:dyDescent="0.25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</row>
    <row r="158" spans="1:26" ht="13.8" x14ac:dyDescent="0.25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</row>
    <row r="159" spans="1:26" ht="13.8" x14ac:dyDescent="0.25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</row>
    <row r="160" spans="1:26" ht="13.8" x14ac:dyDescent="0.25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</row>
    <row r="161" spans="1:26" ht="13.8" x14ac:dyDescent="0.25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</row>
    <row r="162" spans="1:26" ht="13.8" x14ac:dyDescent="0.25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</row>
    <row r="163" spans="1:26" ht="13.8" x14ac:dyDescent="0.25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</row>
    <row r="164" spans="1:26" ht="13.8" x14ac:dyDescent="0.25">
      <c r="A164" s="160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</row>
    <row r="165" spans="1:26" ht="13.8" x14ac:dyDescent="0.25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</row>
    <row r="166" spans="1:26" ht="13.8" x14ac:dyDescent="0.25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</row>
    <row r="167" spans="1:26" ht="13.8" x14ac:dyDescent="0.25">
      <c r="A167" s="160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</row>
    <row r="168" spans="1:26" ht="13.8" x14ac:dyDescent="0.25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</row>
    <row r="169" spans="1:26" ht="13.8" x14ac:dyDescent="0.25">
      <c r="A169" s="160"/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</row>
    <row r="170" spans="1:26" ht="13.8" x14ac:dyDescent="0.25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</row>
    <row r="171" spans="1:26" ht="13.8" x14ac:dyDescent="0.25">
      <c r="A171" s="160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</row>
    <row r="172" spans="1:26" ht="13.8" x14ac:dyDescent="0.25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</row>
    <row r="173" spans="1:26" ht="13.8" x14ac:dyDescent="0.25">
      <c r="A173" s="160"/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</row>
    <row r="174" spans="1:26" ht="13.8" x14ac:dyDescent="0.25">
      <c r="A174" s="160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</row>
    <row r="175" spans="1:26" ht="13.8" x14ac:dyDescent="0.25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</row>
    <row r="176" spans="1:26" ht="13.8" x14ac:dyDescent="0.25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</row>
    <row r="177" spans="1:26" ht="13.8" x14ac:dyDescent="0.25">
      <c r="A177" s="160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</row>
    <row r="178" spans="1:26" ht="13.8" x14ac:dyDescent="0.25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</row>
    <row r="179" spans="1:26" ht="13.8" x14ac:dyDescent="0.25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</row>
    <row r="180" spans="1:26" ht="13.8" x14ac:dyDescent="0.25">
      <c r="A180" s="160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</row>
    <row r="181" spans="1:26" ht="13.8" x14ac:dyDescent="0.25">
      <c r="A181" s="160"/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</row>
    <row r="182" spans="1:26" ht="13.8" x14ac:dyDescent="0.25">
      <c r="A182" s="160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</row>
    <row r="183" spans="1:26" ht="13.8" x14ac:dyDescent="0.25">
      <c r="A183" s="160"/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</row>
    <row r="184" spans="1:26" ht="13.8" x14ac:dyDescent="0.25">
      <c r="A184" s="160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</row>
    <row r="185" spans="1:26" ht="13.8" x14ac:dyDescent="0.25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</row>
    <row r="186" spans="1:26" ht="13.8" x14ac:dyDescent="0.25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</row>
    <row r="187" spans="1:26" ht="13.8" x14ac:dyDescent="0.25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</row>
    <row r="188" spans="1:26" ht="13.8" x14ac:dyDescent="0.25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</row>
    <row r="189" spans="1:26" ht="13.8" x14ac:dyDescent="0.25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</row>
    <row r="190" spans="1:26" ht="13.8" x14ac:dyDescent="0.25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</row>
    <row r="191" spans="1:26" ht="13.8" x14ac:dyDescent="0.25">
      <c r="A191" s="160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</row>
    <row r="192" spans="1:26" ht="13.8" x14ac:dyDescent="0.25">
      <c r="A192" s="160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</row>
    <row r="193" spans="1:26" ht="13.8" x14ac:dyDescent="0.25">
      <c r="A193" s="160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</row>
    <row r="194" spans="1:26" ht="13.8" x14ac:dyDescent="0.25">
      <c r="A194" s="160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</row>
    <row r="195" spans="1:26" ht="13.8" x14ac:dyDescent="0.25">
      <c r="A195" s="160"/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</row>
    <row r="196" spans="1:26" ht="13.8" x14ac:dyDescent="0.25">
      <c r="A196" s="160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</row>
    <row r="197" spans="1:26" ht="13.8" x14ac:dyDescent="0.25">
      <c r="A197" s="160"/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</row>
    <row r="198" spans="1:26" ht="13.8" x14ac:dyDescent="0.25">
      <c r="A198" s="160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</row>
    <row r="199" spans="1:26" ht="13.8" x14ac:dyDescent="0.25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</row>
    <row r="200" spans="1:26" ht="13.8" x14ac:dyDescent="0.25">
      <c r="A200" s="160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</row>
    <row r="201" spans="1:26" ht="13.8" x14ac:dyDescent="0.25">
      <c r="A201" s="160"/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</row>
    <row r="202" spans="1:26" ht="13.8" x14ac:dyDescent="0.25">
      <c r="A202" s="160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</row>
    <row r="203" spans="1:26" ht="13.8" x14ac:dyDescent="0.25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</row>
    <row r="204" spans="1:26" ht="13.8" x14ac:dyDescent="0.25">
      <c r="A204" s="160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</row>
    <row r="205" spans="1:26" ht="13.8" x14ac:dyDescent="0.25">
      <c r="A205" s="160"/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</row>
    <row r="206" spans="1:26" ht="13.8" x14ac:dyDescent="0.25">
      <c r="A206" s="160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</row>
    <row r="207" spans="1:26" ht="13.8" x14ac:dyDescent="0.25">
      <c r="A207" s="160"/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</row>
    <row r="208" spans="1:26" ht="13.8" x14ac:dyDescent="0.25">
      <c r="A208" s="160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</row>
    <row r="209" spans="1:26" ht="13.8" x14ac:dyDescent="0.25">
      <c r="A209" s="160"/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</row>
    <row r="210" spans="1:26" ht="13.8" x14ac:dyDescent="0.25">
      <c r="A210" s="160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</row>
    <row r="211" spans="1:26" ht="13.8" x14ac:dyDescent="0.25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</row>
    <row r="212" spans="1:26" ht="13.8" x14ac:dyDescent="0.25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</row>
    <row r="213" spans="1:26" ht="13.8" x14ac:dyDescent="0.25">
      <c r="A213" s="160"/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</row>
    <row r="214" spans="1:26" ht="13.8" x14ac:dyDescent="0.25">
      <c r="A214" s="160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</row>
    <row r="215" spans="1:26" ht="13.8" x14ac:dyDescent="0.25">
      <c r="A215" s="160"/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</row>
    <row r="216" spans="1:26" ht="13.8" x14ac:dyDescent="0.25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</row>
    <row r="217" spans="1:26" ht="13.8" x14ac:dyDescent="0.25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</row>
    <row r="218" spans="1:26" ht="13.8" x14ac:dyDescent="0.25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</row>
    <row r="219" spans="1:26" ht="13.8" x14ac:dyDescent="0.25">
      <c r="A219" s="160"/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</row>
    <row r="220" spans="1:26" ht="13.8" x14ac:dyDescent="0.25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</row>
    <row r="221" spans="1:26" ht="13.8" x14ac:dyDescent="0.25">
      <c r="A221" s="160"/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</row>
    <row r="222" spans="1:26" ht="13.8" x14ac:dyDescent="0.25">
      <c r="A222" s="160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</row>
    <row r="223" spans="1:26" ht="13.8" x14ac:dyDescent="0.25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</row>
    <row r="224" spans="1:26" ht="13.8" x14ac:dyDescent="0.25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</row>
    <row r="225" spans="1:26" ht="13.8" x14ac:dyDescent="0.25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</row>
    <row r="226" spans="1:26" ht="13.8" x14ac:dyDescent="0.25">
      <c r="A226" s="160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</row>
    <row r="227" spans="1:26" ht="13.8" x14ac:dyDescent="0.25">
      <c r="A227" s="160"/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</row>
    <row r="228" spans="1:26" ht="13.8" x14ac:dyDescent="0.25">
      <c r="A228" s="160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</row>
    <row r="229" spans="1:26" ht="13.8" x14ac:dyDescent="0.25">
      <c r="A229" s="160"/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</row>
    <row r="230" spans="1:26" ht="13.8" x14ac:dyDescent="0.25">
      <c r="A230" s="160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</row>
    <row r="231" spans="1:26" ht="13.8" x14ac:dyDescent="0.25">
      <c r="A231" s="160"/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</row>
    <row r="232" spans="1:26" ht="13.8" x14ac:dyDescent="0.25">
      <c r="A232" s="160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</row>
    <row r="233" spans="1:26" ht="13.8" x14ac:dyDescent="0.25">
      <c r="A233" s="160"/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</row>
    <row r="234" spans="1:26" ht="13.8" x14ac:dyDescent="0.25">
      <c r="A234" s="160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</row>
    <row r="235" spans="1:26" ht="13.8" x14ac:dyDescent="0.25">
      <c r="A235" s="160"/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</row>
    <row r="236" spans="1:26" ht="13.8" x14ac:dyDescent="0.25">
      <c r="A236" s="160"/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</row>
    <row r="237" spans="1:26" ht="13.8" x14ac:dyDescent="0.25">
      <c r="A237" s="160"/>
      <c r="B237" s="160"/>
      <c r="C237" s="160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</row>
    <row r="238" spans="1:26" ht="13.8" x14ac:dyDescent="0.25">
      <c r="A238" s="160"/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</row>
    <row r="239" spans="1:26" ht="13.8" x14ac:dyDescent="0.25">
      <c r="A239" s="160"/>
      <c r="B239" s="160"/>
      <c r="C239" s="160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</row>
    <row r="240" spans="1:26" ht="13.8" x14ac:dyDescent="0.25">
      <c r="A240" s="160"/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</row>
    <row r="241" spans="1:26" ht="13.8" x14ac:dyDescent="0.25">
      <c r="A241" s="160"/>
      <c r="B241" s="160"/>
      <c r="C241" s="160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</row>
    <row r="242" spans="1:26" ht="13.8" x14ac:dyDescent="0.25">
      <c r="A242" s="160"/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</row>
    <row r="243" spans="1:26" ht="13.8" x14ac:dyDescent="0.25">
      <c r="A243" s="160"/>
      <c r="B243" s="160"/>
      <c r="C243" s="160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</row>
    <row r="244" spans="1:26" ht="13.8" x14ac:dyDescent="0.25">
      <c r="A244" s="160"/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</row>
    <row r="245" spans="1:26" ht="13.8" x14ac:dyDescent="0.25">
      <c r="A245" s="160"/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</row>
    <row r="246" spans="1:26" ht="13.8" x14ac:dyDescent="0.25">
      <c r="A246" s="160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</row>
    <row r="247" spans="1:26" ht="13.8" x14ac:dyDescent="0.25">
      <c r="A247" s="160"/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</row>
    <row r="248" spans="1:26" ht="13.8" x14ac:dyDescent="0.25">
      <c r="A248" s="160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</row>
    <row r="249" spans="1:26" ht="13.8" x14ac:dyDescent="0.25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</row>
    <row r="250" spans="1:26" ht="13.8" x14ac:dyDescent="0.25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</row>
    <row r="251" spans="1:26" ht="13.8" x14ac:dyDescent="0.25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</row>
    <row r="252" spans="1:26" ht="13.8" x14ac:dyDescent="0.25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</row>
    <row r="253" spans="1:26" ht="13.8" x14ac:dyDescent="0.25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</row>
    <row r="254" spans="1:26" ht="13.8" x14ac:dyDescent="0.25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</row>
    <row r="255" spans="1:26" ht="13.8" x14ac:dyDescent="0.25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</row>
    <row r="256" spans="1:26" ht="13.8" x14ac:dyDescent="0.25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</row>
    <row r="257" spans="1:26" ht="13.8" x14ac:dyDescent="0.25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</row>
    <row r="258" spans="1:26" ht="13.8" x14ac:dyDescent="0.25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</row>
    <row r="259" spans="1:26" ht="13.8" x14ac:dyDescent="0.25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</row>
    <row r="260" spans="1:26" ht="13.8" x14ac:dyDescent="0.25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</row>
    <row r="261" spans="1:26" ht="13.8" x14ac:dyDescent="0.25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</row>
    <row r="262" spans="1:26" ht="13.8" x14ac:dyDescent="0.25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</row>
    <row r="263" spans="1:26" ht="13.8" x14ac:dyDescent="0.25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</row>
    <row r="264" spans="1:26" ht="13.8" x14ac:dyDescent="0.25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</row>
    <row r="265" spans="1:26" ht="13.8" x14ac:dyDescent="0.25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</row>
    <row r="266" spans="1:26" ht="13.8" x14ac:dyDescent="0.25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</row>
    <row r="267" spans="1:26" ht="13.8" x14ac:dyDescent="0.25">
      <c r="A267" s="160"/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</row>
    <row r="268" spans="1:26" ht="13.8" x14ac:dyDescent="0.25">
      <c r="A268" s="160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</row>
    <row r="269" spans="1:26" ht="13.8" x14ac:dyDescent="0.25">
      <c r="A269" s="160"/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</row>
    <row r="270" spans="1:26" ht="13.8" x14ac:dyDescent="0.25">
      <c r="A270" s="160"/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</row>
    <row r="271" spans="1:26" ht="13.8" x14ac:dyDescent="0.25">
      <c r="A271" s="160"/>
      <c r="B271" s="160"/>
      <c r="C271" s="160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</row>
    <row r="272" spans="1:26" ht="13.8" x14ac:dyDescent="0.25">
      <c r="A272" s="160"/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</row>
    <row r="273" spans="1:26" ht="13.8" x14ac:dyDescent="0.25">
      <c r="A273" s="160"/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</row>
    <row r="274" spans="1:26" ht="13.8" x14ac:dyDescent="0.25">
      <c r="A274" s="160"/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</row>
    <row r="275" spans="1:26" ht="13.8" x14ac:dyDescent="0.25">
      <c r="A275" s="160"/>
      <c r="B275" s="160"/>
      <c r="C275" s="160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</row>
    <row r="276" spans="1:26" ht="13.8" x14ac:dyDescent="0.25">
      <c r="A276" s="160"/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</row>
    <row r="277" spans="1:26" ht="13.8" x14ac:dyDescent="0.25">
      <c r="A277" s="160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</row>
    <row r="278" spans="1:26" ht="13.8" x14ac:dyDescent="0.25">
      <c r="A278" s="160"/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</row>
    <row r="279" spans="1:26" ht="13.8" x14ac:dyDescent="0.25">
      <c r="A279" s="160"/>
      <c r="B279" s="160"/>
      <c r="C279" s="160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</row>
    <row r="280" spans="1:26" ht="13.8" x14ac:dyDescent="0.25">
      <c r="A280" s="160"/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</row>
    <row r="281" spans="1:26" ht="13.8" x14ac:dyDescent="0.25">
      <c r="A281" s="160"/>
      <c r="B281" s="160"/>
      <c r="C281" s="160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</row>
    <row r="282" spans="1:26" ht="13.8" x14ac:dyDescent="0.25">
      <c r="A282" s="160"/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</row>
    <row r="283" spans="1:26" ht="13.8" x14ac:dyDescent="0.25">
      <c r="A283" s="160"/>
      <c r="B283" s="160"/>
      <c r="C283" s="160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</row>
    <row r="284" spans="1:26" ht="13.8" x14ac:dyDescent="0.25">
      <c r="A284" s="160"/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</row>
    <row r="285" spans="1:26" ht="13.8" x14ac:dyDescent="0.25">
      <c r="A285" s="160"/>
      <c r="B285" s="160"/>
      <c r="C285" s="160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</row>
    <row r="286" spans="1:26" ht="13.8" x14ac:dyDescent="0.25">
      <c r="A286" s="160"/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</row>
    <row r="287" spans="1:26" ht="13.8" x14ac:dyDescent="0.25">
      <c r="A287" s="160"/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</row>
    <row r="288" spans="1:26" ht="13.8" x14ac:dyDescent="0.25">
      <c r="A288" s="160"/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</row>
    <row r="289" spans="1:26" ht="13.8" x14ac:dyDescent="0.25">
      <c r="A289" s="160"/>
      <c r="B289" s="160"/>
      <c r="C289" s="160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</row>
    <row r="290" spans="1:26" ht="13.8" x14ac:dyDescent="0.25">
      <c r="A290" s="160"/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</row>
    <row r="291" spans="1:26" ht="13.8" x14ac:dyDescent="0.25">
      <c r="A291" s="160"/>
      <c r="B291" s="160"/>
      <c r="C291" s="160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</row>
    <row r="292" spans="1:26" ht="13.8" x14ac:dyDescent="0.25">
      <c r="A292" s="160"/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</row>
    <row r="293" spans="1:26" ht="13.8" x14ac:dyDescent="0.25">
      <c r="A293" s="160"/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</row>
    <row r="294" spans="1:26" ht="13.8" x14ac:dyDescent="0.25">
      <c r="A294" s="160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</row>
    <row r="295" spans="1:26" ht="13.8" x14ac:dyDescent="0.25">
      <c r="A295" s="160"/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</row>
    <row r="296" spans="1:26" ht="13.8" x14ac:dyDescent="0.25">
      <c r="A296" s="160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</row>
    <row r="297" spans="1:26" ht="13.8" x14ac:dyDescent="0.25">
      <c r="A297" s="160"/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</row>
    <row r="298" spans="1:26" ht="13.8" x14ac:dyDescent="0.25">
      <c r="A298" s="160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</row>
    <row r="299" spans="1:26" ht="13.8" x14ac:dyDescent="0.25">
      <c r="A299" s="160"/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</row>
    <row r="300" spans="1:26" ht="13.8" x14ac:dyDescent="0.25">
      <c r="A300" s="160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</row>
    <row r="301" spans="1:26" ht="13.8" x14ac:dyDescent="0.25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</row>
    <row r="302" spans="1:26" ht="13.8" x14ac:dyDescent="0.25">
      <c r="A302" s="160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</row>
    <row r="303" spans="1:26" ht="13.8" x14ac:dyDescent="0.25">
      <c r="A303" s="160"/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</row>
    <row r="304" spans="1:26" ht="13.8" x14ac:dyDescent="0.25">
      <c r="A304" s="160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</row>
    <row r="305" spans="1:26" ht="13.8" x14ac:dyDescent="0.25">
      <c r="A305" s="160"/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</row>
    <row r="306" spans="1:26" ht="13.8" x14ac:dyDescent="0.25">
      <c r="A306" s="160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</row>
    <row r="307" spans="1:26" ht="13.8" x14ac:dyDescent="0.25">
      <c r="A307" s="160"/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</row>
    <row r="308" spans="1:26" ht="13.8" x14ac:dyDescent="0.25">
      <c r="A308" s="160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</row>
    <row r="309" spans="1:26" ht="13.8" x14ac:dyDescent="0.25">
      <c r="A309" s="160"/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</row>
    <row r="310" spans="1:26" ht="13.8" x14ac:dyDescent="0.25">
      <c r="A310" s="160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</row>
    <row r="311" spans="1:26" ht="13.8" x14ac:dyDescent="0.25">
      <c r="A311" s="160"/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</row>
    <row r="312" spans="1:26" ht="13.8" x14ac:dyDescent="0.25">
      <c r="A312" s="160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</row>
    <row r="313" spans="1:26" ht="13.8" x14ac:dyDescent="0.25">
      <c r="A313" s="160"/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</row>
    <row r="314" spans="1:26" ht="13.8" x14ac:dyDescent="0.25">
      <c r="A314" s="160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</row>
    <row r="315" spans="1:26" ht="13.8" x14ac:dyDescent="0.25">
      <c r="A315" s="160"/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</row>
    <row r="316" spans="1:26" ht="13.8" x14ac:dyDescent="0.25">
      <c r="A316" s="160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</row>
    <row r="317" spans="1:26" ht="13.8" x14ac:dyDescent="0.25">
      <c r="A317" s="160"/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</row>
    <row r="318" spans="1:26" ht="13.8" x14ac:dyDescent="0.25">
      <c r="A318" s="160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</row>
    <row r="319" spans="1:26" ht="13.8" x14ac:dyDescent="0.25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</row>
    <row r="320" spans="1:26" ht="13.8" x14ac:dyDescent="0.25">
      <c r="A320" s="160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</row>
    <row r="321" spans="1:26" ht="13.8" x14ac:dyDescent="0.25">
      <c r="A321" s="160"/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</row>
    <row r="322" spans="1:26" ht="13.8" x14ac:dyDescent="0.25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</row>
    <row r="323" spans="1:26" ht="13.8" x14ac:dyDescent="0.25">
      <c r="A323" s="160"/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</row>
    <row r="324" spans="1:26" ht="13.8" x14ac:dyDescent="0.25">
      <c r="A324" s="160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</row>
    <row r="325" spans="1:26" ht="13.8" x14ac:dyDescent="0.25">
      <c r="A325" s="160"/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</row>
    <row r="326" spans="1:26" ht="13.8" x14ac:dyDescent="0.25">
      <c r="A326" s="160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</row>
    <row r="327" spans="1:26" ht="13.8" x14ac:dyDescent="0.25">
      <c r="A327" s="160"/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</row>
    <row r="328" spans="1:26" ht="13.8" x14ac:dyDescent="0.25">
      <c r="A328" s="160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</row>
    <row r="329" spans="1:26" ht="13.8" x14ac:dyDescent="0.25">
      <c r="A329" s="160"/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</row>
    <row r="330" spans="1:26" ht="13.8" x14ac:dyDescent="0.25">
      <c r="A330" s="160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</row>
    <row r="331" spans="1:26" ht="13.8" x14ac:dyDescent="0.25">
      <c r="A331" s="160"/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</row>
    <row r="332" spans="1:26" ht="13.8" x14ac:dyDescent="0.25">
      <c r="A332" s="160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</row>
    <row r="333" spans="1:26" ht="13.8" x14ac:dyDescent="0.25">
      <c r="A333" s="160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</row>
    <row r="334" spans="1:26" ht="13.8" x14ac:dyDescent="0.25">
      <c r="A334" s="160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</row>
    <row r="335" spans="1:26" ht="13.8" x14ac:dyDescent="0.25">
      <c r="A335" s="160"/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</row>
    <row r="336" spans="1:26" ht="13.8" x14ac:dyDescent="0.25">
      <c r="A336" s="160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</row>
    <row r="337" spans="1:26" ht="13.8" x14ac:dyDescent="0.25">
      <c r="A337" s="160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</row>
    <row r="338" spans="1:26" ht="13.8" x14ac:dyDescent="0.25">
      <c r="A338" s="160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</row>
    <row r="339" spans="1:26" ht="13.8" x14ac:dyDescent="0.25">
      <c r="A339" s="160"/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</row>
    <row r="340" spans="1:26" ht="13.8" x14ac:dyDescent="0.25">
      <c r="A340" s="160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</row>
    <row r="341" spans="1:26" ht="13.8" x14ac:dyDescent="0.25">
      <c r="A341" s="160"/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</row>
    <row r="342" spans="1:26" ht="13.8" x14ac:dyDescent="0.25">
      <c r="A342" s="160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</row>
    <row r="343" spans="1:26" ht="13.8" x14ac:dyDescent="0.25">
      <c r="A343" s="160"/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</row>
    <row r="344" spans="1:26" ht="13.8" x14ac:dyDescent="0.25">
      <c r="A344" s="160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</row>
    <row r="345" spans="1:26" ht="13.8" x14ac:dyDescent="0.25">
      <c r="A345" s="160"/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</row>
    <row r="346" spans="1:26" ht="13.8" x14ac:dyDescent="0.25">
      <c r="A346" s="160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</row>
    <row r="347" spans="1:26" ht="13.8" x14ac:dyDescent="0.25">
      <c r="A347" s="160"/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</row>
    <row r="348" spans="1:26" ht="13.8" x14ac:dyDescent="0.25">
      <c r="A348" s="160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</row>
    <row r="349" spans="1:26" ht="13.8" x14ac:dyDescent="0.25">
      <c r="A349" s="160"/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</row>
    <row r="350" spans="1:26" ht="13.8" x14ac:dyDescent="0.25">
      <c r="A350" s="160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</row>
    <row r="351" spans="1:26" ht="13.8" x14ac:dyDescent="0.25">
      <c r="A351" s="160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</row>
    <row r="352" spans="1:26" ht="13.8" x14ac:dyDescent="0.25">
      <c r="A352" s="160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</row>
    <row r="353" spans="1:26" ht="13.8" x14ac:dyDescent="0.25">
      <c r="A353" s="160"/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</row>
    <row r="354" spans="1:26" ht="13.8" x14ac:dyDescent="0.25">
      <c r="A354" s="160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</row>
    <row r="355" spans="1:26" ht="13.8" x14ac:dyDescent="0.25">
      <c r="A355" s="160"/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</row>
    <row r="356" spans="1:26" ht="13.8" x14ac:dyDescent="0.25">
      <c r="A356" s="160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</row>
    <row r="357" spans="1:26" ht="13.8" x14ac:dyDescent="0.25">
      <c r="A357" s="160"/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</row>
    <row r="358" spans="1:26" ht="13.8" x14ac:dyDescent="0.25">
      <c r="A358" s="160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</row>
    <row r="359" spans="1:26" ht="13.8" x14ac:dyDescent="0.25">
      <c r="A359" s="160"/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</row>
    <row r="360" spans="1:26" ht="13.8" x14ac:dyDescent="0.25">
      <c r="A360" s="160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</row>
    <row r="361" spans="1:26" ht="13.8" x14ac:dyDescent="0.25">
      <c r="A361" s="160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</row>
    <row r="362" spans="1:26" ht="13.8" x14ac:dyDescent="0.25">
      <c r="A362" s="160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</row>
    <row r="363" spans="1:26" ht="13.8" x14ac:dyDescent="0.25">
      <c r="A363" s="160"/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</row>
    <row r="364" spans="1:26" ht="13.8" x14ac:dyDescent="0.25">
      <c r="A364" s="160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</row>
    <row r="365" spans="1:26" ht="13.8" x14ac:dyDescent="0.25">
      <c r="A365" s="160"/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</row>
    <row r="366" spans="1:26" ht="13.8" x14ac:dyDescent="0.25">
      <c r="A366" s="160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</row>
    <row r="367" spans="1:26" ht="13.8" x14ac:dyDescent="0.25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</row>
    <row r="368" spans="1:26" ht="13.8" x14ac:dyDescent="0.25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</row>
    <row r="369" spans="1:26" ht="13.8" x14ac:dyDescent="0.25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</row>
    <row r="370" spans="1:26" ht="13.8" x14ac:dyDescent="0.25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</row>
    <row r="371" spans="1:26" ht="13.8" x14ac:dyDescent="0.25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</row>
    <row r="372" spans="1:26" ht="13.8" x14ac:dyDescent="0.25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</row>
    <row r="373" spans="1:26" ht="13.8" x14ac:dyDescent="0.25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</row>
    <row r="374" spans="1:26" ht="13.8" x14ac:dyDescent="0.25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</row>
    <row r="375" spans="1:26" ht="13.8" x14ac:dyDescent="0.25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</row>
    <row r="376" spans="1:26" ht="13.8" x14ac:dyDescent="0.25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</row>
    <row r="377" spans="1:26" ht="13.8" x14ac:dyDescent="0.25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</row>
    <row r="378" spans="1:26" ht="13.8" x14ac:dyDescent="0.25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</row>
    <row r="379" spans="1:26" ht="13.8" x14ac:dyDescent="0.25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</row>
    <row r="380" spans="1:26" ht="13.8" x14ac:dyDescent="0.25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</row>
    <row r="381" spans="1:26" ht="13.8" x14ac:dyDescent="0.25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</row>
    <row r="382" spans="1:26" ht="13.8" x14ac:dyDescent="0.25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</row>
    <row r="383" spans="1:26" ht="13.8" x14ac:dyDescent="0.25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</row>
    <row r="384" spans="1:26" ht="13.8" x14ac:dyDescent="0.25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</row>
    <row r="385" spans="1:26" ht="13.8" x14ac:dyDescent="0.25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</row>
    <row r="386" spans="1:26" ht="13.8" x14ac:dyDescent="0.25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</row>
    <row r="387" spans="1:26" ht="13.8" x14ac:dyDescent="0.25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</row>
    <row r="388" spans="1:26" ht="13.8" x14ac:dyDescent="0.25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</row>
    <row r="389" spans="1:26" ht="13.8" x14ac:dyDescent="0.25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</row>
    <row r="390" spans="1:26" ht="13.8" x14ac:dyDescent="0.25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</row>
    <row r="391" spans="1:26" ht="13.8" x14ac:dyDescent="0.25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</row>
    <row r="392" spans="1:26" ht="13.8" x14ac:dyDescent="0.25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</row>
    <row r="393" spans="1:26" ht="13.8" x14ac:dyDescent="0.25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</row>
    <row r="394" spans="1:26" ht="13.8" x14ac:dyDescent="0.25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</row>
    <row r="395" spans="1:26" ht="13.8" x14ac:dyDescent="0.25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</row>
    <row r="396" spans="1:26" ht="13.8" x14ac:dyDescent="0.25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</row>
    <row r="397" spans="1:26" ht="13.8" x14ac:dyDescent="0.25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</row>
    <row r="398" spans="1:26" ht="13.8" x14ac:dyDescent="0.25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</row>
    <row r="399" spans="1:26" ht="13.8" x14ac:dyDescent="0.25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</row>
    <row r="400" spans="1:26" ht="13.8" x14ac:dyDescent="0.25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</row>
    <row r="401" spans="1:26" ht="13.8" x14ac:dyDescent="0.25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</row>
    <row r="402" spans="1:26" ht="13.8" x14ac:dyDescent="0.25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</row>
    <row r="403" spans="1:26" ht="13.8" x14ac:dyDescent="0.25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</row>
    <row r="404" spans="1:26" ht="13.8" x14ac:dyDescent="0.25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</row>
    <row r="405" spans="1:26" ht="13.8" x14ac:dyDescent="0.25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</row>
    <row r="406" spans="1:26" ht="13.8" x14ac:dyDescent="0.25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</row>
    <row r="407" spans="1:26" ht="13.8" x14ac:dyDescent="0.25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</row>
    <row r="408" spans="1:26" ht="13.8" x14ac:dyDescent="0.25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</row>
    <row r="409" spans="1:26" ht="13.8" x14ac:dyDescent="0.25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</row>
    <row r="410" spans="1:26" ht="13.8" x14ac:dyDescent="0.25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</row>
    <row r="411" spans="1:26" ht="13.8" x14ac:dyDescent="0.25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</row>
    <row r="412" spans="1:26" ht="13.8" x14ac:dyDescent="0.25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</row>
    <row r="413" spans="1:26" ht="13.8" x14ac:dyDescent="0.25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</row>
    <row r="414" spans="1:26" ht="13.8" x14ac:dyDescent="0.25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</row>
    <row r="415" spans="1:26" ht="13.8" x14ac:dyDescent="0.25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</row>
    <row r="416" spans="1:26" ht="13.8" x14ac:dyDescent="0.25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</row>
    <row r="417" spans="1:26" ht="13.8" x14ac:dyDescent="0.25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</row>
    <row r="418" spans="1:26" ht="13.8" x14ac:dyDescent="0.25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</row>
    <row r="419" spans="1:26" ht="13.8" x14ac:dyDescent="0.25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</row>
    <row r="420" spans="1:26" ht="13.8" x14ac:dyDescent="0.25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</row>
    <row r="421" spans="1:26" ht="13.8" x14ac:dyDescent="0.25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</row>
    <row r="422" spans="1:26" ht="13.8" x14ac:dyDescent="0.25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</row>
    <row r="423" spans="1:26" ht="13.8" x14ac:dyDescent="0.25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</row>
    <row r="424" spans="1:26" ht="13.8" x14ac:dyDescent="0.25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</row>
    <row r="425" spans="1:26" ht="13.8" x14ac:dyDescent="0.25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</row>
    <row r="426" spans="1:26" ht="13.8" x14ac:dyDescent="0.25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</row>
    <row r="427" spans="1:26" ht="13.8" x14ac:dyDescent="0.25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</row>
    <row r="428" spans="1:26" ht="13.8" x14ac:dyDescent="0.25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</row>
    <row r="429" spans="1:26" ht="13.8" x14ac:dyDescent="0.25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</row>
    <row r="430" spans="1:26" ht="13.8" x14ac:dyDescent="0.25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</row>
    <row r="431" spans="1:26" ht="13.8" x14ac:dyDescent="0.25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</row>
    <row r="432" spans="1:26" ht="13.8" x14ac:dyDescent="0.25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</row>
    <row r="433" spans="1:26" ht="13.8" x14ac:dyDescent="0.25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</row>
    <row r="434" spans="1:26" ht="13.8" x14ac:dyDescent="0.25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</row>
    <row r="435" spans="1:26" ht="13.8" x14ac:dyDescent="0.25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</row>
    <row r="436" spans="1:26" ht="13.8" x14ac:dyDescent="0.25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</row>
    <row r="437" spans="1:26" ht="13.8" x14ac:dyDescent="0.25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</row>
    <row r="438" spans="1:26" ht="13.8" x14ac:dyDescent="0.25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</row>
    <row r="439" spans="1:26" ht="13.8" x14ac:dyDescent="0.25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</row>
    <row r="440" spans="1:26" ht="13.8" x14ac:dyDescent="0.25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</row>
    <row r="441" spans="1:26" ht="13.8" x14ac:dyDescent="0.25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</row>
    <row r="442" spans="1:26" ht="13.8" x14ac:dyDescent="0.25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</row>
    <row r="443" spans="1:26" ht="13.8" x14ac:dyDescent="0.25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</row>
    <row r="444" spans="1:26" ht="13.8" x14ac:dyDescent="0.25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</row>
    <row r="445" spans="1:26" ht="13.8" x14ac:dyDescent="0.25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</row>
    <row r="446" spans="1:26" ht="13.8" x14ac:dyDescent="0.25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</row>
    <row r="447" spans="1:26" ht="13.8" x14ac:dyDescent="0.25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</row>
    <row r="448" spans="1:26" ht="13.8" x14ac:dyDescent="0.25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</row>
    <row r="449" spans="1:26" ht="13.8" x14ac:dyDescent="0.25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</row>
    <row r="450" spans="1:26" ht="13.8" x14ac:dyDescent="0.25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</row>
    <row r="451" spans="1:26" ht="13.8" x14ac:dyDescent="0.25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</row>
    <row r="452" spans="1:26" ht="13.8" x14ac:dyDescent="0.25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</row>
    <row r="453" spans="1:26" ht="13.8" x14ac:dyDescent="0.25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</row>
    <row r="454" spans="1:26" ht="13.8" x14ac:dyDescent="0.25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</row>
    <row r="455" spans="1:26" ht="13.8" x14ac:dyDescent="0.25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</row>
    <row r="456" spans="1:26" ht="13.8" x14ac:dyDescent="0.25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</row>
    <row r="457" spans="1:26" ht="13.8" x14ac:dyDescent="0.25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</row>
    <row r="458" spans="1:26" ht="13.8" x14ac:dyDescent="0.25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</row>
    <row r="459" spans="1:26" ht="13.8" x14ac:dyDescent="0.25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</row>
    <row r="460" spans="1:26" ht="13.8" x14ac:dyDescent="0.25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</row>
    <row r="461" spans="1:26" ht="13.8" x14ac:dyDescent="0.25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</row>
    <row r="462" spans="1:26" ht="13.8" x14ac:dyDescent="0.25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</row>
    <row r="463" spans="1:26" ht="13.8" x14ac:dyDescent="0.25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</row>
    <row r="464" spans="1:26" ht="13.8" x14ac:dyDescent="0.25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</row>
    <row r="465" spans="1:26" ht="13.8" x14ac:dyDescent="0.25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</row>
    <row r="466" spans="1:26" ht="13.8" x14ac:dyDescent="0.25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</row>
    <row r="467" spans="1:26" ht="13.8" x14ac:dyDescent="0.25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</row>
    <row r="468" spans="1:26" ht="13.8" x14ac:dyDescent="0.25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</row>
    <row r="469" spans="1:26" ht="13.8" x14ac:dyDescent="0.25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</row>
    <row r="470" spans="1:26" ht="13.8" x14ac:dyDescent="0.25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</row>
    <row r="471" spans="1:26" ht="13.8" x14ac:dyDescent="0.25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</row>
    <row r="472" spans="1:26" ht="13.8" x14ac:dyDescent="0.25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</row>
    <row r="473" spans="1:26" ht="13.8" x14ac:dyDescent="0.25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</row>
    <row r="474" spans="1:26" ht="13.8" x14ac:dyDescent="0.25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</row>
    <row r="475" spans="1:26" ht="13.8" x14ac:dyDescent="0.25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</row>
    <row r="476" spans="1:26" ht="13.8" x14ac:dyDescent="0.25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</row>
    <row r="477" spans="1:26" ht="13.8" x14ac:dyDescent="0.25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</row>
    <row r="478" spans="1:26" ht="13.8" x14ac:dyDescent="0.25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</row>
    <row r="479" spans="1:26" ht="13.8" x14ac:dyDescent="0.25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</row>
    <row r="480" spans="1:26" ht="13.8" x14ac:dyDescent="0.25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</row>
    <row r="481" spans="1:26" ht="13.8" x14ac:dyDescent="0.25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</row>
    <row r="482" spans="1:26" ht="13.8" x14ac:dyDescent="0.25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</row>
    <row r="483" spans="1:26" ht="13.8" x14ac:dyDescent="0.25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</row>
    <row r="484" spans="1:26" ht="13.8" x14ac:dyDescent="0.25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</row>
    <row r="485" spans="1:26" ht="13.8" x14ac:dyDescent="0.25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</row>
    <row r="486" spans="1:26" ht="13.8" x14ac:dyDescent="0.25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</row>
    <row r="487" spans="1:26" ht="13.8" x14ac:dyDescent="0.25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</row>
    <row r="488" spans="1:26" ht="13.8" x14ac:dyDescent="0.25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</row>
    <row r="489" spans="1:26" ht="13.8" x14ac:dyDescent="0.25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</row>
    <row r="490" spans="1:26" ht="13.8" x14ac:dyDescent="0.25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</row>
    <row r="491" spans="1:26" ht="13.8" x14ac:dyDescent="0.25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</row>
    <row r="492" spans="1:26" ht="13.8" x14ac:dyDescent="0.25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</row>
    <row r="493" spans="1:26" ht="13.8" x14ac:dyDescent="0.25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</row>
    <row r="494" spans="1:26" ht="13.8" x14ac:dyDescent="0.25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</row>
    <row r="495" spans="1:26" ht="13.8" x14ac:dyDescent="0.25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</row>
    <row r="496" spans="1:26" ht="13.8" x14ac:dyDescent="0.25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</row>
    <row r="497" spans="1:26" ht="13.8" x14ac:dyDescent="0.25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</row>
    <row r="498" spans="1:26" ht="13.8" x14ac:dyDescent="0.25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</row>
    <row r="499" spans="1:26" ht="13.8" x14ac:dyDescent="0.25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</row>
    <row r="500" spans="1:26" ht="13.8" x14ac:dyDescent="0.25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</row>
    <row r="501" spans="1:26" ht="13.8" x14ac:dyDescent="0.25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</row>
    <row r="502" spans="1:26" ht="13.8" x14ac:dyDescent="0.25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</row>
    <row r="503" spans="1:26" ht="13.8" x14ac:dyDescent="0.25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</row>
    <row r="504" spans="1:26" ht="13.8" x14ac:dyDescent="0.25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</row>
    <row r="505" spans="1:26" ht="13.8" x14ac:dyDescent="0.25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</row>
    <row r="506" spans="1:26" ht="13.8" x14ac:dyDescent="0.25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</row>
    <row r="507" spans="1:26" ht="13.8" x14ac:dyDescent="0.25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</row>
    <row r="508" spans="1:26" ht="13.8" x14ac:dyDescent="0.25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</row>
    <row r="509" spans="1:26" ht="13.8" x14ac:dyDescent="0.25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</row>
    <row r="510" spans="1:26" ht="13.8" x14ac:dyDescent="0.25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</row>
    <row r="511" spans="1:26" ht="13.8" x14ac:dyDescent="0.25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</row>
    <row r="512" spans="1:26" ht="13.8" x14ac:dyDescent="0.25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</row>
    <row r="513" spans="1:26" ht="13.8" x14ac:dyDescent="0.25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</row>
    <row r="514" spans="1:26" ht="13.8" x14ac:dyDescent="0.25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</row>
    <row r="515" spans="1:26" ht="13.8" x14ac:dyDescent="0.25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</row>
    <row r="516" spans="1:26" ht="13.8" x14ac:dyDescent="0.25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</row>
    <row r="517" spans="1:26" ht="13.8" x14ac:dyDescent="0.25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</row>
    <row r="518" spans="1:26" ht="13.8" x14ac:dyDescent="0.25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</row>
    <row r="519" spans="1:26" ht="13.8" x14ac:dyDescent="0.25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</row>
    <row r="520" spans="1:26" ht="13.8" x14ac:dyDescent="0.25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</row>
    <row r="521" spans="1:26" ht="13.8" x14ac:dyDescent="0.25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</row>
    <row r="522" spans="1:26" ht="13.8" x14ac:dyDescent="0.25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</row>
    <row r="523" spans="1:26" ht="13.8" x14ac:dyDescent="0.25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</row>
    <row r="524" spans="1:26" ht="13.8" x14ac:dyDescent="0.25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</row>
    <row r="525" spans="1:26" ht="13.8" x14ac:dyDescent="0.25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</row>
    <row r="526" spans="1:26" ht="13.8" x14ac:dyDescent="0.25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</row>
    <row r="527" spans="1:26" ht="13.8" x14ac:dyDescent="0.25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</row>
    <row r="528" spans="1:26" ht="13.8" x14ac:dyDescent="0.25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</row>
    <row r="529" spans="1:26" ht="13.8" x14ac:dyDescent="0.25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</row>
    <row r="530" spans="1:26" ht="13.8" x14ac:dyDescent="0.25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</row>
    <row r="531" spans="1:26" ht="13.8" x14ac:dyDescent="0.25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</row>
    <row r="532" spans="1:26" ht="13.8" x14ac:dyDescent="0.25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</row>
    <row r="533" spans="1:26" ht="13.8" x14ac:dyDescent="0.25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</row>
    <row r="534" spans="1:26" ht="13.8" x14ac:dyDescent="0.25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</row>
    <row r="535" spans="1:26" ht="13.8" x14ac:dyDescent="0.25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</row>
    <row r="536" spans="1:26" ht="13.8" x14ac:dyDescent="0.25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</row>
    <row r="537" spans="1:26" ht="13.8" x14ac:dyDescent="0.25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</row>
    <row r="538" spans="1:26" ht="13.8" x14ac:dyDescent="0.25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</row>
    <row r="539" spans="1:26" ht="13.8" x14ac:dyDescent="0.25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</row>
    <row r="540" spans="1:26" ht="13.8" x14ac:dyDescent="0.25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</row>
    <row r="541" spans="1:26" ht="13.8" x14ac:dyDescent="0.25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</row>
    <row r="542" spans="1:26" ht="13.8" x14ac:dyDescent="0.25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</row>
    <row r="543" spans="1:26" ht="13.8" x14ac:dyDescent="0.25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</row>
    <row r="544" spans="1:26" ht="13.8" x14ac:dyDescent="0.25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</row>
    <row r="545" spans="1:26" ht="13.8" x14ac:dyDescent="0.25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</row>
    <row r="546" spans="1:26" ht="13.8" x14ac:dyDescent="0.25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</row>
    <row r="547" spans="1:26" ht="13.8" x14ac:dyDescent="0.25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</row>
    <row r="548" spans="1:26" ht="13.8" x14ac:dyDescent="0.25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</row>
    <row r="549" spans="1:26" ht="13.8" x14ac:dyDescent="0.25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</row>
    <row r="550" spans="1:26" ht="13.8" x14ac:dyDescent="0.25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</row>
    <row r="551" spans="1:26" ht="13.8" x14ac:dyDescent="0.25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</row>
    <row r="552" spans="1:26" ht="13.8" x14ac:dyDescent="0.25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</row>
    <row r="553" spans="1:26" ht="13.8" x14ac:dyDescent="0.25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</row>
    <row r="554" spans="1:26" ht="13.8" x14ac:dyDescent="0.25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</row>
    <row r="555" spans="1:26" ht="13.8" x14ac:dyDescent="0.25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</row>
    <row r="556" spans="1:26" ht="13.8" x14ac:dyDescent="0.25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</row>
    <row r="557" spans="1:26" ht="13.8" x14ac:dyDescent="0.25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</row>
    <row r="558" spans="1:26" ht="13.8" x14ac:dyDescent="0.25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</row>
    <row r="559" spans="1:26" ht="13.8" x14ac:dyDescent="0.25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</row>
    <row r="560" spans="1:26" ht="13.8" x14ac:dyDescent="0.25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</row>
    <row r="561" spans="1:26" ht="13.8" x14ac:dyDescent="0.25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</row>
    <row r="562" spans="1:26" ht="13.8" x14ac:dyDescent="0.25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</row>
    <row r="563" spans="1:26" ht="13.8" x14ac:dyDescent="0.25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</row>
    <row r="564" spans="1:26" ht="13.8" x14ac:dyDescent="0.25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</row>
    <row r="565" spans="1:26" ht="13.8" x14ac:dyDescent="0.25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</row>
    <row r="566" spans="1:26" ht="13.8" x14ac:dyDescent="0.25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</row>
    <row r="567" spans="1:26" ht="13.8" x14ac:dyDescent="0.25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</row>
    <row r="568" spans="1:26" ht="13.8" x14ac:dyDescent="0.25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</row>
    <row r="569" spans="1:26" ht="13.8" x14ac:dyDescent="0.25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</row>
    <row r="570" spans="1:26" ht="13.8" x14ac:dyDescent="0.25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</row>
    <row r="571" spans="1:26" ht="13.8" x14ac:dyDescent="0.25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</row>
    <row r="572" spans="1:26" ht="13.8" x14ac:dyDescent="0.25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</row>
    <row r="573" spans="1:26" ht="13.8" x14ac:dyDescent="0.25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</row>
    <row r="574" spans="1:26" ht="13.8" x14ac:dyDescent="0.25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</row>
    <row r="575" spans="1:26" ht="13.8" x14ac:dyDescent="0.25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</row>
    <row r="576" spans="1:26" ht="13.8" x14ac:dyDescent="0.25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</row>
    <row r="577" spans="1:26" ht="13.8" x14ac:dyDescent="0.25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</row>
    <row r="578" spans="1:26" ht="13.8" x14ac:dyDescent="0.25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</row>
    <row r="579" spans="1:26" ht="13.8" x14ac:dyDescent="0.25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</row>
    <row r="580" spans="1:26" ht="13.8" x14ac:dyDescent="0.25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</row>
    <row r="581" spans="1:26" ht="13.8" x14ac:dyDescent="0.25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</row>
    <row r="582" spans="1:26" ht="13.8" x14ac:dyDescent="0.25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</row>
    <row r="583" spans="1:26" ht="13.8" x14ac:dyDescent="0.25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</row>
    <row r="584" spans="1:26" ht="13.8" x14ac:dyDescent="0.25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</row>
    <row r="585" spans="1:26" ht="13.8" x14ac:dyDescent="0.25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</row>
    <row r="586" spans="1:26" ht="13.8" x14ac:dyDescent="0.25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</row>
    <row r="587" spans="1:26" ht="13.8" x14ac:dyDescent="0.25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</row>
    <row r="588" spans="1:26" ht="13.8" x14ac:dyDescent="0.25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</row>
    <row r="589" spans="1:26" ht="13.8" x14ac:dyDescent="0.25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</row>
    <row r="590" spans="1:26" ht="13.8" x14ac:dyDescent="0.25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</row>
    <row r="591" spans="1:26" ht="13.8" x14ac:dyDescent="0.25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</row>
    <row r="592" spans="1:26" ht="13.8" x14ac:dyDescent="0.25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</row>
    <row r="593" spans="1:26" ht="13.8" x14ac:dyDescent="0.25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</row>
    <row r="594" spans="1:26" ht="13.8" x14ac:dyDescent="0.25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</row>
    <row r="595" spans="1:26" ht="13.8" x14ac:dyDescent="0.25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</row>
    <row r="596" spans="1:26" ht="13.8" x14ac:dyDescent="0.25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</row>
    <row r="597" spans="1:26" ht="13.8" x14ac:dyDescent="0.25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</row>
    <row r="598" spans="1:26" ht="13.8" x14ac:dyDescent="0.25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</row>
    <row r="599" spans="1:26" ht="13.8" x14ac:dyDescent="0.25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</row>
    <row r="600" spans="1:26" ht="13.8" x14ac:dyDescent="0.25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</row>
    <row r="601" spans="1:26" ht="13.8" x14ac:dyDescent="0.25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</row>
    <row r="602" spans="1:26" ht="13.8" x14ac:dyDescent="0.25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</row>
    <row r="603" spans="1:26" ht="13.8" x14ac:dyDescent="0.25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</row>
    <row r="604" spans="1:26" ht="13.8" x14ac:dyDescent="0.25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</row>
    <row r="605" spans="1:26" ht="13.8" x14ac:dyDescent="0.25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</row>
    <row r="606" spans="1:26" ht="13.8" x14ac:dyDescent="0.25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</row>
    <row r="607" spans="1:26" ht="13.8" x14ac:dyDescent="0.25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</row>
    <row r="608" spans="1:26" ht="13.8" x14ac:dyDescent="0.25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</row>
    <row r="609" spans="1:26" ht="13.8" x14ac:dyDescent="0.25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</row>
    <row r="610" spans="1:26" ht="13.8" x14ac:dyDescent="0.25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</row>
    <row r="611" spans="1:26" ht="13.8" x14ac:dyDescent="0.25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</row>
    <row r="612" spans="1:26" ht="13.8" x14ac:dyDescent="0.25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</row>
    <row r="613" spans="1:26" ht="13.8" x14ac:dyDescent="0.25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</row>
    <row r="614" spans="1:26" ht="13.8" x14ac:dyDescent="0.25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</row>
    <row r="615" spans="1:26" ht="13.8" x14ac:dyDescent="0.25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</row>
    <row r="616" spans="1:26" ht="13.8" x14ac:dyDescent="0.25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</row>
    <row r="617" spans="1:26" ht="13.8" x14ac:dyDescent="0.25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</row>
    <row r="618" spans="1:26" ht="13.8" x14ac:dyDescent="0.25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</row>
    <row r="619" spans="1:26" ht="13.8" x14ac:dyDescent="0.25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</row>
    <row r="620" spans="1:26" ht="13.8" x14ac:dyDescent="0.25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</row>
    <row r="621" spans="1:26" ht="13.8" x14ac:dyDescent="0.25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</row>
    <row r="622" spans="1:26" ht="13.8" x14ac:dyDescent="0.25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</row>
    <row r="623" spans="1:26" ht="13.8" x14ac:dyDescent="0.25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</row>
    <row r="624" spans="1:26" ht="13.8" x14ac:dyDescent="0.25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</row>
    <row r="625" spans="1:26" ht="13.8" x14ac:dyDescent="0.25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</row>
    <row r="626" spans="1:26" ht="13.8" x14ac:dyDescent="0.25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</row>
    <row r="627" spans="1:26" ht="13.8" x14ac:dyDescent="0.25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</row>
    <row r="628" spans="1:26" ht="13.8" x14ac:dyDescent="0.25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</row>
    <row r="629" spans="1:26" ht="13.8" x14ac:dyDescent="0.25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</row>
    <row r="630" spans="1:26" ht="13.8" x14ac:dyDescent="0.25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</row>
    <row r="631" spans="1:26" ht="13.8" x14ac:dyDescent="0.25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</row>
    <row r="632" spans="1:26" ht="13.8" x14ac:dyDescent="0.25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</row>
    <row r="633" spans="1:26" ht="13.8" x14ac:dyDescent="0.25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</row>
    <row r="634" spans="1:26" ht="13.8" x14ac:dyDescent="0.25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</row>
    <row r="635" spans="1:26" ht="13.8" x14ac:dyDescent="0.25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</row>
    <row r="636" spans="1:26" ht="13.8" x14ac:dyDescent="0.25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</row>
    <row r="637" spans="1:26" ht="13.8" x14ac:dyDescent="0.25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</row>
    <row r="638" spans="1:26" ht="13.8" x14ac:dyDescent="0.25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</row>
    <row r="639" spans="1:26" ht="13.8" x14ac:dyDescent="0.25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</row>
    <row r="640" spans="1:26" ht="13.8" x14ac:dyDescent="0.25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</row>
    <row r="641" spans="1:26" ht="13.8" x14ac:dyDescent="0.25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</row>
    <row r="642" spans="1:26" ht="13.8" x14ac:dyDescent="0.25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</row>
    <row r="643" spans="1:26" ht="13.8" x14ac:dyDescent="0.25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</row>
    <row r="644" spans="1:26" ht="13.8" x14ac:dyDescent="0.25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</row>
    <row r="645" spans="1:26" ht="13.8" x14ac:dyDescent="0.25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</row>
    <row r="646" spans="1:26" ht="13.8" x14ac:dyDescent="0.25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</row>
    <row r="647" spans="1:26" ht="13.8" x14ac:dyDescent="0.25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</row>
    <row r="648" spans="1:26" ht="13.8" x14ac:dyDescent="0.25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</row>
    <row r="649" spans="1:26" ht="13.8" x14ac:dyDescent="0.25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</row>
    <row r="650" spans="1:26" ht="13.8" x14ac:dyDescent="0.25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</row>
    <row r="651" spans="1:26" ht="13.8" x14ac:dyDescent="0.25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</row>
    <row r="652" spans="1:26" ht="13.8" x14ac:dyDescent="0.25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</row>
    <row r="653" spans="1:26" ht="13.8" x14ac:dyDescent="0.25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</row>
    <row r="654" spans="1:26" ht="13.8" x14ac:dyDescent="0.25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</row>
    <row r="655" spans="1:26" ht="13.8" x14ac:dyDescent="0.25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</row>
    <row r="656" spans="1:26" ht="13.8" x14ac:dyDescent="0.25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</row>
    <row r="657" spans="1:26" ht="13.8" x14ac:dyDescent="0.25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</row>
    <row r="658" spans="1:26" ht="13.8" x14ac:dyDescent="0.25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</row>
    <row r="659" spans="1:26" ht="13.8" x14ac:dyDescent="0.25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</row>
    <row r="660" spans="1:26" ht="13.8" x14ac:dyDescent="0.25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</row>
    <row r="661" spans="1:26" ht="13.8" x14ac:dyDescent="0.25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</row>
    <row r="662" spans="1:26" ht="13.8" x14ac:dyDescent="0.25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</row>
    <row r="663" spans="1:26" ht="13.8" x14ac:dyDescent="0.25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</row>
    <row r="664" spans="1:26" ht="13.8" x14ac:dyDescent="0.25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</row>
    <row r="665" spans="1:26" ht="13.8" x14ac:dyDescent="0.25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</row>
    <row r="666" spans="1:26" ht="13.8" x14ac:dyDescent="0.25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</row>
    <row r="667" spans="1:26" ht="13.8" x14ac:dyDescent="0.25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</row>
    <row r="668" spans="1:26" ht="13.8" x14ac:dyDescent="0.25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</row>
    <row r="669" spans="1:26" ht="13.8" x14ac:dyDescent="0.25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</row>
    <row r="670" spans="1:26" ht="13.8" x14ac:dyDescent="0.25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</row>
    <row r="671" spans="1:26" ht="13.8" x14ac:dyDescent="0.25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</row>
    <row r="672" spans="1:26" ht="13.8" x14ac:dyDescent="0.25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</row>
    <row r="673" spans="1:26" ht="13.8" x14ac:dyDescent="0.25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</row>
    <row r="674" spans="1:26" ht="13.8" x14ac:dyDescent="0.25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</row>
    <row r="675" spans="1:26" ht="13.8" x14ac:dyDescent="0.25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</row>
    <row r="676" spans="1:26" ht="13.8" x14ac:dyDescent="0.25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</row>
    <row r="677" spans="1:26" ht="13.8" x14ac:dyDescent="0.25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</row>
    <row r="678" spans="1:26" ht="13.8" x14ac:dyDescent="0.25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</row>
    <row r="679" spans="1:26" ht="13.8" x14ac:dyDescent="0.25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</row>
    <row r="680" spans="1:26" ht="13.8" x14ac:dyDescent="0.25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</row>
    <row r="681" spans="1:26" ht="13.8" x14ac:dyDescent="0.25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</row>
    <row r="682" spans="1:26" ht="13.8" x14ac:dyDescent="0.25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</row>
    <row r="683" spans="1:26" ht="13.8" x14ac:dyDescent="0.25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</row>
    <row r="684" spans="1:26" ht="13.8" x14ac:dyDescent="0.25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</row>
    <row r="685" spans="1:26" ht="13.8" x14ac:dyDescent="0.25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</row>
    <row r="686" spans="1:26" ht="13.8" x14ac:dyDescent="0.25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</row>
    <row r="687" spans="1:26" ht="13.8" x14ac:dyDescent="0.25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</row>
    <row r="688" spans="1:26" ht="13.8" x14ac:dyDescent="0.25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</row>
    <row r="689" spans="1:26" ht="13.8" x14ac:dyDescent="0.25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</row>
    <row r="690" spans="1:26" ht="13.8" x14ac:dyDescent="0.25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</row>
    <row r="691" spans="1:26" ht="13.8" x14ac:dyDescent="0.25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</row>
    <row r="692" spans="1:26" ht="13.8" x14ac:dyDescent="0.25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</row>
    <row r="693" spans="1:26" ht="13.8" x14ac:dyDescent="0.25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</row>
    <row r="694" spans="1:26" ht="13.8" x14ac:dyDescent="0.25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</row>
    <row r="695" spans="1:26" ht="13.8" x14ac:dyDescent="0.25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</row>
    <row r="696" spans="1:26" ht="13.8" x14ac:dyDescent="0.25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</row>
    <row r="697" spans="1:26" ht="13.8" x14ac:dyDescent="0.25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</row>
    <row r="698" spans="1:26" ht="13.8" x14ac:dyDescent="0.25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</row>
    <row r="699" spans="1:26" ht="13.8" x14ac:dyDescent="0.25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</row>
    <row r="700" spans="1:26" ht="13.8" x14ac:dyDescent="0.25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</row>
    <row r="701" spans="1:26" ht="13.8" x14ac:dyDescent="0.25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</row>
    <row r="702" spans="1:26" ht="13.8" x14ac:dyDescent="0.25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</row>
    <row r="703" spans="1:26" ht="13.8" x14ac:dyDescent="0.25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</row>
    <row r="704" spans="1:26" ht="13.8" x14ac:dyDescent="0.25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</row>
    <row r="705" spans="1:26" ht="13.8" x14ac:dyDescent="0.25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</row>
    <row r="706" spans="1:26" ht="13.8" x14ac:dyDescent="0.25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</row>
    <row r="707" spans="1:26" ht="13.8" x14ac:dyDescent="0.25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</row>
    <row r="708" spans="1:26" ht="13.8" x14ac:dyDescent="0.25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</row>
    <row r="709" spans="1:26" ht="13.8" x14ac:dyDescent="0.25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</row>
    <row r="710" spans="1:26" ht="13.8" x14ac:dyDescent="0.25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</row>
    <row r="711" spans="1:26" ht="13.8" x14ac:dyDescent="0.25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</row>
    <row r="712" spans="1:26" ht="13.8" x14ac:dyDescent="0.25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</row>
    <row r="713" spans="1:26" ht="13.8" x14ac:dyDescent="0.25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</row>
    <row r="714" spans="1:26" ht="13.8" x14ac:dyDescent="0.25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</row>
    <row r="715" spans="1:26" ht="13.8" x14ac:dyDescent="0.25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</row>
    <row r="716" spans="1:26" ht="13.8" x14ac:dyDescent="0.25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</row>
    <row r="717" spans="1:26" ht="13.8" x14ac:dyDescent="0.25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</row>
    <row r="718" spans="1:26" ht="13.8" x14ac:dyDescent="0.25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</row>
    <row r="719" spans="1:26" ht="13.8" x14ac:dyDescent="0.25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</row>
    <row r="720" spans="1:26" ht="13.8" x14ac:dyDescent="0.25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</row>
    <row r="721" spans="1:26" ht="13.8" x14ac:dyDescent="0.25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</row>
    <row r="722" spans="1:26" ht="13.8" x14ac:dyDescent="0.25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</row>
    <row r="723" spans="1:26" ht="13.8" x14ac:dyDescent="0.25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</row>
    <row r="724" spans="1:26" ht="13.8" x14ac:dyDescent="0.25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</row>
    <row r="725" spans="1:26" ht="13.8" x14ac:dyDescent="0.25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</row>
    <row r="726" spans="1:26" ht="13.8" x14ac:dyDescent="0.25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</row>
    <row r="727" spans="1:26" ht="13.8" x14ac:dyDescent="0.25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</row>
    <row r="728" spans="1:26" ht="13.8" x14ac:dyDescent="0.25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</row>
    <row r="729" spans="1:26" ht="13.8" x14ac:dyDescent="0.25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</row>
    <row r="730" spans="1:26" ht="13.8" x14ac:dyDescent="0.25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</row>
    <row r="731" spans="1:26" ht="13.8" x14ac:dyDescent="0.25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</row>
    <row r="732" spans="1:26" ht="13.8" x14ac:dyDescent="0.25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</row>
    <row r="733" spans="1:26" ht="13.8" x14ac:dyDescent="0.25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</row>
    <row r="734" spans="1:26" ht="13.8" x14ac:dyDescent="0.25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</row>
    <row r="735" spans="1:26" ht="13.8" x14ac:dyDescent="0.25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</row>
    <row r="736" spans="1:26" ht="13.8" x14ac:dyDescent="0.25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</row>
    <row r="737" spans="1:26" ht="13.8" x14ac:dyDescent="0.25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</row>
    <row r="738" spans="1:26" ht="13.8" x14ac:dyDescent="0.25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</row>
    <row r="739" spans="1:26" ht="13.8" x14ac:dyDescent="0.25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</row>
    <row r="740" spans="1:26" ht="13.8" x14ac:dyDescent="0.25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</row>
    <row r="741" spans="1:26" ht="13.8" x14ac:dyDescent="0.25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</row>
    <row r="742" spans="1:26" ht="13.8" x14ac:dyDescent="0.25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</row>
    <row r="743" spans="1:26" ht="13.8" x14ac:dyDescent="0.25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</row>
    <row r="744" spans="1:26" ht="13.8" x14ac:dyDescent="0.25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</row>
    <row r="745" spans="1:26" ht="13.8" x14ac:dyDescent="0.25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</row>
    <row r="746" spans="1:26" ht="13.8" x14ac:dyDescent="0.25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</row>
    <row r="747" spans="1:26" ht="13.8" x14ac:dyDescent="0.25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</row>
    <row r="748" spans="1:26" ht="13.8" x14ac:dyDescent="0.25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</row>
    <row r="749" spans="1:26" ht="13.8" x14ac:dyDescent="0.25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</row>
    <row r="750" spans="1:26" ht="13.8" x14ac:dyDescent="0.25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</row>
    <row r="751" spans="1:26" ht="13.8" x14ac:dyDescent="0.25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</row>
    <row r="752" spans="1:26" ht="13.8" x14ac:dyDescent="0.25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</row>
    <row r="753" spans="1:26" ht="13.8" x14ac:dyDescent="0.25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</row>
    <row r="754" spans="1:26" ht="13.8" x14ac:dyDescent="0.25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</row>
    <row r="755" spans="1:26" ht="13.8" x14ac:dyDescent="0.25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</row>
    <row r="756" spans="1:26" ht="13.8" x14ac:dyDescent="0.25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</row>
    <row r="757" spans="1:26" ht="13.8" x14ac:dyDescent="0.25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</row>
    <row r="758" spans="1:26" ht="13.8" x14ac:dyDescent="0.25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</row>
    <row r="759" spans="1:26" ht="13.8" x14ac:dyDescent="0.25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</row>
    <row r="760" spans="1:26" ht="13.8" x14ac:dyDescent="0.25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</row>
    <row r="761" spans="1:26" ht="13.8" x14ac:dyDescent="0.25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</row>
    <row r="762" spans="1:26" ht="13.8" x14ac:dyDescent="0.25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</row>
    <row r="763" spans="1:26" ht="13.8" x14ac:dyDescent="0.25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</row>
    <row r="764" spans="1:26" ht="13.8" x14ac:dyDescent="0.25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</row>
    <row r="765" spans="1:26" ht="13.8" x14ac:dyDescent="0.25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</row>
    <row r="766" spans="1:26" ht="13.8" x14ac:dyDescent="0.25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</row>
    <row r="767" spans="1:26" ht="13.8" x14ac:dyDescent="0.25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</row>
    <row r="768" spans="1:26" ht="13.8" x14ac:dyDescent="0.25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</row>
    <row r="769" spans="1:26" ht="13.8" x14ac:dyDescent="0.25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</row>
    <row r="770" spans="1:26" ht="13.8" x14ac:dyDescent="0.25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</row>
    <row r="771" spans="1:26" ht="13.8" x14ac:dyDescent="0.25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</row>
    <row r="772" spans="1:26" ht="13.8" x14ac:dyDescent="0.25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</row>
    <row r="773" spans="1:26" ht="13.8" x14ac:dyDescent="0.25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</row>
    <row r="774" spans="1:26" ht="13.8" x14ac:dyDescent="0.25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</row>
    <row r="775" spans="1:26" ht="13.8" x14ac:dyDescent="0.25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</row>
    <row r="776" spans="1:26" ht="13.8" x14ac:dyDescent="0.25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</row>
    <row r="777" spans="1:26" ht="13.8" x14ac:dyDescent="0.25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</row>
    <row r="778" spans="1:26" ht="13.8" x14ac:dyDescent="0.25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</row>
    <row r="779" spans="1:26" ht="13.8" x14ac:dyDescent="0.25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</row>
    <row r="780" spans="1:26" ht="13.8" x14ac:dyDescent="0.25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</row>
    <row r="781" spans="1:26" ht="13.8" x14ac:dyDescent="0.25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</row>
    <row r="782" spans="1:26" ht="13.8" x14ac:dyDescent="0.25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</row>
    <row r="783" spans="1:26" ht="13.8" x14ac:dyDescent="0.25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</row>
    <row r="784" spans="1:26" ht="13.8" x14ac:dyDescent="0.25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</row>
    <row r="785" spans="1:26" ht="13.8" x14ac:dyDescent="0.25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</row>
    <row r="786" spans="1:26" ht="13.8" x14ac:dyDescent="0.25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</row>
    <row r="787" spans="1:26" ht="13.8" x14ac:dyDescent="0.25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</row>
    <row r="788" spans="1:26" ht="13.8" x14ac:dyDescent="0.25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</row>
    <row r="789" spans="1:26" ht="13.8" x14ac:dyDescent="0.25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</row>
    <row r="790" spans="1:26" ht="13.8" x14ac:dyDescent="0.25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</row>
    <row r="791" spans="1:26" ht="13.8" x14ac:dyDescent="0.25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</row>
    <row r="792" spans="1:26" ht="13.8" x14ac:dyDescent="0.25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</row>
    <row r="793" spans="1:26" ht="13.8" x14ac:dyDescent="0.25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</row>
    <row r="794" spans="1:26" ht="13.8" x14ac:dyDescent="0.25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</row>
    <row r="795" spans="1:26" ht="13.8" x14ac:dyDescent="0.25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</row>
    <row r="796" spans="1:26" ht="13.8" x14ac:dyDescent="0.25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</row>
    <row r="797" spans="1:26" ht="13.8" x14ac:dyDescent="0.25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</row>
    <row r="798" spans="1:26" ht="13.8" x14ac:dyDescent="0.25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</row>
    <row r="799" spans="1:26" ht="13.8" x14ac:dyDescent="0.25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</row>
    <row r="800" spans="1:26" ht="13.8" x14ac:dyDescent="0.25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</row>
    <row r="801" spans="1:26" ht="13.8" x14ac:dyDescent="0.25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</row>
    <row r="802" spans="1:26" ht="13.8" x14ac:dyDescent="0.25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</row>
    <row r="803" spans="1:26" ht="13.8" x14ac:dyDescent="0.25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</row>
    <row r="804" spans="1:26" ht="13.8" x14ac:dyDescent="0.25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</row>
    <row r="805" spans="1:26" ht="13.8" x14ac:dyDescent="0.25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</row>
    <row r="806" spans="1:26" ht="13.8" x14ac:dyDescent="0.25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</row>
    <row r="807" spans="1:26" ht="13.8" x14ac:dyDescent="0.25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</row>
    <row r="808" spans="1:26" ht="13.8" x14ac:dyDescent="0.25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</row>
    <row r="809" spans="1:26" ht="13.8" x14ac:dyDescent="0.25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</row>
    <row r="810" spans="1:26" ht="13.8" x14ac:dyDescent="0.25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</row>
    <row r="811" spans="1:26" ht="13.8" x14ac:dyDescent="0.25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</row>
    <row r="812" spans="1:26" ht="13.8" x14ac:dyDescent="0.25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</row>
    <row r="813" spans="1:26" ht="13.8" x14ac:dyDescent="0.25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</row>
    <row r="814" spans="1:26" ht="13.8" x14ac:dyDescent="0.25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</row>
    <row r="815" spans="1:26" ht="13.8" x14ac:dyDescent="0.25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</row>
    <row r="816" spans="1:26" ht="13.8" x14ac:dyDescent="0.25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</row>
    <row r="817" spans="1:26" ht="13.8" x14ac:dyDescent="0.25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</row>
    <row r="818" spans="1:26" ht="13.8" x14ac:dyDescent="0.25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</row>
    <row r="819" spans="1:26" ht="13.8" x14ac:dyDescent="0.25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</row>
    <row r="820" spans="1:26" ht="13.8" x14ac:dyDescent="0.25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</row>
    <row r="821" spans="1:26" ht="13.8" x14ac:dyDescent="0.25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</row>
    <row r="822" spans="1:26" ht="13.8" x14ac:dyDescent="0.25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</row>
    <row r="823" spans="1:26" ht="13.8" x14ac:dyDescent="0.25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</row>
    <row r="824" spans="1:26" ht="13.8" x14ac:dyDescent="0.25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</row>
    <row r="825" spans="1:26" ht="13.8" x14ac:dyDescent="0.25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</row>
    <row r="826" spans="1:26" ht="13.8" x14ac:dyDescent="0.25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</row>
    <row r="827" spans="1:26" ht="13.8" x14ac:dyDescent="0.25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</row>
    <row r="828" spans="1:26" ht="13.8" x14ac:dyDescent="0.25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</row>
    <row r="829" spans="1:26" ht="13.8" x14ac:dyDescent="0.25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</row>
    <row r="830" spans="1:26" ht="13.8" x14ac:dyDescent="0.25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</row>
    <row r="831" spans="1:26" ht="13.8" x14ac:dyDescent="0.25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</row>
    <row r="832" spans="1:26" ht="13.8" x14ac:dyDescent="0.25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</row>
    <row r="833" spans="1:26" ht="13.8" x14ac:dyDescent="0.25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</row>
    <row r="834" spans="1:26" ht="13.8" x14ac:dyDescent="0.25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</row>
    <row r="835" spans="1:26" ht="13.8" x14ac:dyDescent="0.25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</row>
    <row r="836" spans="1:26" ht="13.8" x14ac:dyDescent="0.25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</row>
    <row r="837" spans="1:26" ht="13.8" x14ac:dyDescent="0.25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</row>
    <row r="838" spans="1:26" ht="13.8" x14ac:dyDescent="0.25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</row>
    <row r="839" spans="1:26" ht="13.8" x14ac:dyDescent="0.25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</row>
    <row r="840" spans="1:26" ht="13.8" x14ac:dyDescent="0.25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</row>
    <row r="841" spans="1:26" ht="13.8" x14ac:dyDescent="0.25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</row>
    <row r="842" spans="1:26" ht="13.8" x14ac:dyDescent="0.25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</row>
    <row r="843" spans="1:26" ht="13.8" x14ac:dyDescent="0.25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</row>
    <row r="844" spans="1:26" ht="13.8" x14ac:dyDescent="0.25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</row>
    <row r="845" spans="1:26" ht="13.8" x14ac:dyDescent="0.25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</row>
    <row r="846" spans="1:26" ht="13.8" x14ac:dyDescent="0.25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</row>
    <row r="847" spans="1:26" ht="13.8" x14ac:dyDescent="0.25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</row>
    <row r="848" spans="1:26" ht="13.8" x14ac:dyDescent="0.25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</row>
    <row r="849" spans="1:26" ht="13.8" x14ac:dyDescent="0.25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</row>
    <row r="850" spans="1:26" ht="13.8" x14ac:dyDescent="0.25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</row>
    <row r="851" spans="1:26" ht="13.8" x14ac:dyDescent="0.25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</row>
    <row r="852" spans="1:26" ht="13.8" x14ac:dyDescent="0.25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</row>
    <row r="853" spans="1:26" ht="13.8" x14ac:dyDescent="0.25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</row>
    <row r="854" spans="1:26" ht="13.8" x14ac:dyDescent="0.25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</row>
    <row r="855" spans="1:26" ht="13.8" x14ac:dyDescent="0.25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</row>
    <row r="856" spans="1:26" ht="13.8" x14ac:dyDescent="0.25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</row>
    <row r="857" spans="1:26" ht="13.8" x14ac:dyDescent="0.25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</row>
    <row r="858" spans="1:26" ht="13.8" x14ac:dyDescent="0.25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</row>
    <row r="859" spans="1:26" ht="13.8" x14ac:dyDescent="0.25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</row>
    <row r="860" spans="1:26" ht="13.8" x14ac:dyDescent="0.25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</row>
    <row r="861" spans="1:26" ht="13.8" x14ac:dyDescent="0.25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</row>
    <row r="862" spans="1:26" ht="13.8" x14ac:dyDescent="0.25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</row>
    <row r="863" spans="1:26" ht="13.8" x14ac:dyDescent="0.25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</row>
    <row r="864" spans="1:26" ht="13.8" x14ac:dyDescent="0.25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</row>
    <row r="865" spans="1:26" ht="13.8" x14ac:dyDescent="0.25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</row>
    <row r="866" spans="1:26" ht="13.8" x14ac:dyDescent="0.25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</row>
    <row r="867" spans="1:26" ht="13.8" x14ac:dyDescent="0.25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</row>
    <row r="868" spans="1:26" ht="13.8" x14ac:dyDescent="0.25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</row>
    <row r="869" spans="1:26" ht="13.8" x14ac:dyDescent="0.25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</row>
    <row r="870" spans="1:26" ht="13.8" x14ac:dyDescent="0.25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</row>
    <row r="871" spans="1:26" ht="13.8" x14ac:dyDescent="0.25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</row>
    <row r="872" spans="1:26" ht="13.8" x14ac:dyDescent="0.25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</row>
    <row r="873" spans="1:26" ht="13.8" x14ac:dyDescent="0.25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</row>
    <row r="874" spans="1:26" ht="13.8" x14ac:dyDescent="0.25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</row>
    <row r="875" spans="1:26" ht="13.8" x14ac:dyDescent="0.25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</row>
    <row r="876" spans="1:26" ht="13.8" x14ac:dyDescent="0.25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</row>
    <row r="877" spans="1:26" ht="13.8" x14ac:dyDescent="0.25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</row>
    <row r="878" spans="1:26" ht="13.8" x14ac:dyDescent="0.25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</row>
    <row r="879" spans="1:26" ht="13.8" x14ac:dyDescent="0.25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</row>
    <row r="880" spans="1:26" ht="13.8" x14ac:dyDescent="0.25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</row>
    <row r="881" spans="1:26" ht="13.8" x14ac:dyDescent="0.25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</row>
    <row r="882" spans="1:26" ht="13.8" x14ac:dyDescent="0.25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</row>
    <row r="883" spans="1:26" ht="13.8" x14ac:dyDescent="0.25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</row>
    <row r="884" spans="1:26" ht="13.8" x14ac:dyDescent="0.25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</row>
    <row r="885" spans="1:26" ht="13.8" x14ac:dyDescent="0.25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</row>
    <row r="886" spans="1:26" ht="13.8" x14ac:dyDescent="0.25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</row>
    <row r="887" spans="1:26" ht="13.8" x14ac:dyDescent="0.25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</row>
    <row r="888" spans="1:26" ht="13.8" x14ac:dyDescent="0.25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</row>
    <row r="889" spans="1:26" ht="13.8" x14ac:dyDescent="0.25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</row>
    <row r="890" spans="1:26" ht="13.8" x14ac:dyDescent="0.25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</row>
    <row r="891" spans="1:26" ht="13.8" x14ac:dyDescent="0.25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</row>
    <row r="892" spans="1:26" ht="13.8" x14ac:dyDescent="0.25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</row>
    <row r="893" spans="1:26" ht="13.8" x14ac:dyDescent="0.25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</row>
    <row r="894" spans="1:26" ht="13.8" x14ac:dyDescent="0.25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</row>
    <row r="895" spans="1:26" ht="13.8" x14ac:dyDescent="0.25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</row>
    <row r="896" spans="1:26" ht="13.8" x14ac:dyDescent="0.25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</row>
    <row r="897" spans="1:26" ht="13.8" x14ac:dyDescent="0.25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</row>
    <row r="898" spans="1:26" ht="13.8" x14ac:dyDescent="0.25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</row>
    <row r="899" spans="1:26" ht="13.8" x14ac:dyDescent="0.25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</row>
    <row r="900" spans="1:26" ht="13.8" x14ac:dyDescent="0.25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</row>
    <row r="901" spans="1:26" ht="13.8" x14ac:dyDescent="0.25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</row>
    <row r="902" spans="1:26" ht="13.8" x14ac:dyDescent="0.25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</row>
    <row r="903" spans="1:26" ht="13.8" x14ac:dyDescent="0.25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</row>
    <row r="904" spans="1:26" ht="13.8" x14ac:dyDescent="0.25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</row>
    <row r="905" spans="1:26" ht="13.8" x14ac:dyDescent="0.25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</row>
    <row r="906" spans="1:26" ht="13.8" x14ac:dyDescent="0.25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</row>
    <row r="907" spans="1:26" ht="13.8" x14ac:dyDescent="0.25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</row>
    <row r="908" spans="1:26" ht="13.8" x14ac:dyDescent="0.25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</row>
    <row r="909" spans="1:26" ht="13.8" x14ac:dyDescent="0.25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</row>
    <row r="910" spans="1:26" ht="13.8" x14ac:dyDescent="0.25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</row>
    <row r="911" spans="1:26" ht="13.8" x14ac:dyDescent="0.25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</row>
    <row r="912" spans="1:26" ht="13.8" x14ac:dyDescent="0.25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</row>
    <row r="913" spans="1:26" ht="13.8" x14ac:dyDescent="0.25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</row>
    <row r="914" spans="1:26" ht="13.8" x14ac:dyDescent="0.25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</row>
    <row r="915" spans="1:26" ht="13.8" x14ac:dyDescent="0.25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</row>
    <row r="916" spans="1:26" ht="13.8" x14ac:dyDescent="0.25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</row>
    <row r="917" spans="1:26" ht="13.8" x14ac:dyDescent="0.25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</row>
    <row r="918" spans="1:26" ht="13.8" x14ac:dyDescent="0.25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</row>
    <row r="919" spans="1:26" ht="13.8" x14ac:dyDescent="0.25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</row>
    <row r="920" spans="1:26" ht="13.8" x14ac:dyDescent="0.25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</row>
    <row r="921" spans="1:26" ht="13.8" x14ac:dyDescent="0.25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</row>
    <row r="922" spans="1:26" ht="13.8" x14ac:dyDescent="0.25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</row>
    <row r="923" spans="1:26" ht="13.8" x14ac:dyDescent="0.25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</row>
    <row r="924" spans="1:26" ht="13.8" x14ac:dyDescent="0.25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</row>
    <row r="925" spans="1:26" ht="13.8" x14ac:dyDescent="0.25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</row>
    <row r="926" spans="1:26" ht="13.8" x14ac:dyDescent="0.25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</row>
    <row r="927" spans="1:26" ht="13.8" x14ac:dyDescent="0.25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</row>
    <row r="928" spans="1:26" ht="13.8" x14ac:dyDescent="0.25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</row>
    <row r="929" spans="1:26" ht="13.8" x14ac:dyDescent="0.25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</row>
    <row r="930" spans="1:26" ht="13.8" x14ac:dyDescent="0.25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</row>
    <row r="931" spans="1:26" ht="13.8" x14ac:dyDescent="0.25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</row>
    <row r="932" spans="1:26" ht="13.8" x14ac:dyDescent="0.25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</row>
    <row r="933" spans="1:26" ht="13.8" x14ac:dyDescent="0.25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</row>
    <row r="934" spans="1:26" ht="13.8" x14ac:dyDescent="0.25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</row>
    <row r="935" spans="1:26" ht="13.8" x14ac:dyDescent="0.25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</row>
    <row r="936" spans="1:26" ht="13.8" x14ac:dyDescent="0.25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</row>
    <row r="937" spans="1:26" ht="13.8" x14ac:dyDescent="0.25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</row>
    <row r="938" spans="1:26" ht="13.8" x14ac:dyDescent="0.25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</row>
    <row r="939" spans="1:26" ht="13.8" x14ac:dyDescent="0.25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</row>
    <row r="940" spans="1:26" ht="13.8" x14ac:dyDescent="0.25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</row>
    <row r="941" spans="1:26" ht="13.8" x14ac:dyDescent="0.25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</row>
    <row r="942" spans="1:26" ht="13.8" x14ac:dyDescent="0.25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</row>
    <row r="943" spans="1:26" ht="13.8" x14ac:dyDescent="0.25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</row>
    <row r="944" spans="1:26" ht="13.8" x14ac:dyDescent="0.25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</row>
    <row r="945" spans="1:26" ht="13.8" x14ac:dyDescent="0.25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</row>
    <row r="946" spans="1:26" ht="13.8" x14ac:dyDescent="0.25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</row>
    <row r="947" spans="1:26" ht="13.8" x14ac:dyDescent="0.25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</row>
    <row r="948" spans="1:26" ht="13.8" x14ac:dyDescent="0.25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</row>
    <row r="949" spans="1:26" ht="13.8" x14ac:dyDescent="0.25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</row>
    <row r="950" spans="1:26" ht="13.8" x14ac:dyDescent="0.25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</row>
    <row r="951" spans="1:26" ht="13.8" x14ac:dyDescent="0.25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</row>
    <row r="952" spans="1:26" ht="13.8" x14ac:dyDescent="0.25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</row>
    <row r="953" spans="1:26" ht="13.8" x14ac:dyDescent="0.25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</row>
    <row r="954" spans="1:26" ht="13.8" x14ac:dyDescent="0.25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</row>
    <row r="955" spans="1:26" ht="13.8" x14ac:dyDescent="0.25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</row>
    <row r="956" spans="1:26" ht="13.8" x14ac:dyDescent="0.25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</row>
    <row r="957" spans="1:26" ht="13.8" x14ac:dyDescent="0.25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</row>
    <row r="958" spans="1:26" ht="13.8" x14ac:dyDescent="0.25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</row>
    <row r="959" spans="1:26" ht="13.8" x14ac:dyDescent="0.25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</row>
    <row r="960" spans="1:26" ht="13.8" x14ac:dyDescent="0.25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</row>
    <row r="961" spans="1:26" ht="13.8" x14ac:dyDescent="0.25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</row>
    <row r="962" spans="1:26" ht="13.8" x14ac:dyDescent="0.25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</row>
    <row r="963" spans="1:26" ht="13.8" x14ac:dyDescent="0.25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</row>
    <row r="964" spans="1:26" ht="13.8" x14ac:dyDescent="0.25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</row>
    <row r="965" spans="1:26" ht="13.8" x14ac:dyDescent="0.25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</row>
    <row r="966" spans="1:26" ht="13.8" x14ac:dyDescent="0.25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</row>
    <row r="967" spans="1:26" ht="13.8" x14ac:dyDescent="0.25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</row>
    <row r="968" spans="1:26" ht="13.8" x14ac:dyDescent="0.25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</row>
    <row r="969" spans="1:26" ht="13.8" x14ac:dyDescent="0.25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</row>
    <row r="970" spans="1:26" ht="13.8" x14ac:dyDescent="0.25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</row>
    <row r="971" spans="1:26" ht="13.8" x14ac:dyDescent="0.25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</row>
    <row r="972" spans="1:26" ht="13.8" x14ac:dyDescent="0.25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</row>
    <row r="973" spans="1:26" ht="13.8" x14ac:dyDescent="0.25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</row>
    <row r="974" spans="1:26" ht="13.8" x14ac:dyDescent="0.25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</row>
    <row r="975" spans="1:26" ht="13.8" x14ac:dyDescent="0.25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</row>
    <row r="976" spans="1:26" ht="13.8" x14ac:dyDescent="0.25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</row>
    <row r="977" spans="1:26" ht="13.8" x14ac:dyDescent="0.25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</row>
    <row r="978" spans="1:26" ht="13.8" x14ac:dyDescent="0.25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</row>
    <row r="979" spans="1:26" ht="13.8" x14ac:dyDescent="0.25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</row>
    <row r="980" spans="1:26" ht="13.8" x14ac:dyDescent="0.25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</row>
    <row r="981" spans="1:26" ht="13.8" x14ac:dyDescent="0.25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</row>
    <row r="982" spans="1:26" ht="13.8" x14ac:dyDescent="0.25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</row>
    <row r="983" spans="1:26" ht="13.8" x14ac:dyDescent="0.25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</row>
    <row r="984" spans="1:26" ht="13.8" x14ac:dyDescent="0.25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</row>
    <row r="985" spans="1:26" ht="13.8" x14ac:dyDescent="0.25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</row>
    <row r="986" spans="1:26" ht="13.8" x14ac:dyDescent="0.25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</row>
    <row r="987" spans="1:26" ht="13.8" x14ac:dyDescent="0.25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</row>
    <row r="988" spans="1:26" ht="13.8" x14ac:dyDescent="0.25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</row>
    <row r="989" spans="1:26" ht="13.8" x14ac:dyDescent="0.25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</row>
    <row r="990" spans="1:26" ht="13.8" x14ac:dyDescent="0.25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</row>
    <row r="991" spans="1:26" ht="13.8" x14ac:dyDescent="0.25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</row>
    <row r="992" spans="1:26" ht="13.8" x14ac:dyDescent="0.25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</row>
    <row r="993" spans="1:26" ht="13.8" x14ac:dyDescent="0.25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</row>
    <row r="994" spans="1:26" ht="13.8" x14ac:dyDescent="0.25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</row>
    <row r="995" spans="1:26" ht="13.8" x14ac:dyDescent="0.25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</row>
    <row r="996" spans="1:26" ht="13.8" x14ac:dyDescent="0.25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</row>
    <row r="997" spans="1:26" ht="13.8" x14ac:dyDescent="0.25">
      <c r="A997" s="160"/>
      <c r="B997" s="160"/>
      <c r="C997" s="160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</row>
    <row r="998" spans="1:26" ht="13.8" x14ac:dyDescent="0.25">
      <c r="A998" s="160"/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</row>
    <row r="999" spans="1:26" ht="13.8" x14ac:dyDescent="0.25">
      <c r="A999" s="160"/>
      <c r="B999" s="160"/>
      <c r="C999" s="160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</row>
    <row r="1000" spans="1:26" ht="13.8" x14ac:dyDescent="0.25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</row>
    <row r="1001" spans="1:26" ht="13.8" x14ac:dyDescent="0.25">
      <c r="A1001" s="160"/>
      <c r="B1001" s="160"/>
      <c r="C1001" s="160"/>
      <c r="D1001" s="160"/>
      <c r="E1001" s="160"/>
      <c r="F1001" s="160"/>
      <c r="G1001" s="160"/>
      <c r="H1001" s="160"/>
      <c r="I1001" s="160"/>
      <c r="J1001" s="160"/>
      <c r="K1001" s="160"/>
      <c r="L1001" s="160"/>
      <c r="M1001" s="160"/>
      <c r="N1001" s="160"/>
      <c r="O1001" s="160"/>
      <c r="P1001" s="160"/>
      <c r="Q1001" s="160"/>
      <c r="R1001" s="160"/>
      <c r="S1001" s="160"/>
      <c r="T1001" s="160"/>
      <c r="U1001" s="160"/>
      <c r="V1001" s="160"/>
      <c r="W1001" s="160"/>
      <c r="X1001" s="160"/>
      <c r="Y1001" s="160"/>
      <c r="Z1001" s="160"/>
    </row>
    <row r="1002" spans="1:26" ht="13.8" x14ac:dyDescent="0.25">
      <c r="A1002" s="160"/>
      <c r="B1002" s="160"/>
      <c r="C1002" s="160"/>
      <c r="D1002" s="160"/>
      <c r="E1002" s="160"/>
      <c r="F1002" s="160"/>
      <c r="G1002" s="160"/>
      <c r="H1002" s="160"/>
      <c r="I1002" s="160"/>
      <c r="J1002" s="160"/>
      <c r="K1002" s="160"/>
      <c r="L1002" s="160"/>
      <c r="M1002" s="160"/>
      <c r="N1002" s="160"/>
      <c r="O1002" s="160"/>
      <c r="P1002" s="160"/>
      <c r="Q1002" s="160"/>
      <c r="R1002" s="160"/>
      <c r="S1002" s="160"/>
      <c r="T1002" s="160"/>
      <c r="U1002" s="160"/>
      <c r="V1002" s="160"/>
      <c r="W1002" s="160"/>
      <c r="X1002" s="160"/>
      <c r="Y1002" s="160"/>
      <c r="Z1002" s="160"/>
    </row>
    <row r="1003" spans="1:26" ht="13.8" x14ac:dyDescent="0.25">
      <c r="A1003" s="160"/>
      <c r="B1003" s="160"/>
      <c r="C1003" s="160"/>
      <c r="D1003" s="160"/>
      <c r="E1003" s="160"/>
      <c r="F1003" s="160"/>
      <c r="G1003" s="160"/>
      <c r="H1003" s="160"/>
      <c r="I1003" s="160"/>
      <c r="J1003" s="160"/>
      <c r="K1003" s="160"/>
      <c r="L1003" s="160"/>
      <c r="M1003" s="160"/>
      <c r="N1003" s="160"/>
      <c r="O1003" s="160"/>
      <c r="P1003" s="160"/>
      <c r="Q1003" s="160"/>
      <c r="R1003" s="160"/>
      <c r="S1003" s="160"/>
      <c r="T1003" s="160"/>
      <c r="U1003" s="160"/>
      <c r="V1003" s="160"/>
      <c r="W1003" s="160"/>
      <c r="X1003" s="160"/>
      <c r="Y1003" s="160"/>
      <c r="Z1003" s="160"/>
    </row>
    <row r="1004" spans="1:26" ht="13.8" x14ac:dyDescent="0.25">
      <c r="A1004" s="160"/>
      <c r="B1004" s="160"/>
      <c r="C1004" s="160"/>
      <c r="D1004" s="160"/>
      <c r="E1004" s="160"/>
      <c r="F1004" s="160"/>
      <c r="G1004" s="160"/>
      <c r="H1004" s="160"/>
      <c r="I1004" s="160"/>
      <c r="J1004" s="160"/>
      <c r="K1004" s="160"/>
      <c r="L1004" s="160"/>
      <c r="M1004" s="160"/>
      <c r="N1004" s="160"/>
      <c r="O1004" s="160"/>
      <c r="P1004" s="160"/>
      <c r="Q1004" s="160"/>
      <c r="R1004" s="160"/>
      <c r="S1004" s="160"/>
      <c r="T1004" s="160"/>
      <c r="U1004" s="160"/>
      <c r="V1004" s="160"/>
      <c r="W1004" s="160"/>
      <c r="X1004" s="160"/>
      <c r="Y1004" s="160"/>
      <c r="Z1004" s="160"/>
    </row>
    <row r="1005" spans="1:26" ht="13.8" x14ac:dyDescent="0.25">
      <c r="A1005" s="160"/>
      <c r="B1005" s="160"/>
      <c r="C1005" s="160"/>
      <c r="D1005" s="160"/>
      <c r="E1005" s="160"/>
      <c r="F1005" s="160"/>
      <c r="G1005" s="160"/>
      <c r="H1005" s="160"/>
      <c r="I1005" s="160"/>
      <c r="J1005" s="160"/>
      <c r="K1005" s="160"/>
      <c r="L1005" s="160"/>
      <c r="M1005" s="160"/>
      <c r="N1005" s="160"/>
      <c r="O1005" s="160"/>
      <c r="P1005" s="160"/>
      <c r="Q1005" s="160"/>
      <c r="R1005" s="160"/>
      <c r="S1005" s="160"/>
      <c r="T1005" s="160"/>
      <c r="U1005" s="160"/>
      <c r="V1005" s="160"/>
      <c r="W1005" s="160"/>
      <c r="X1005" s="160"/>
      <c r="Y1005" s="160"/>
      <c r="Z1005" s="160"/>
    </row>
    <row r="1006" spans="1:26" ht="13.8" x14ac:dyDescent="0.25">
      <c r="A1006" s="160"/>
      <c r="B1006" s="160"/>
      <c r="C1006" s="160"/>
      <c r="D1006" s="160"/>
      <c r="E1006" s="160"/>
      <c r="F1006" s="160"/>
      <c r="G1006" s="160"/>
      <c r="H1006" s="160"/>
      <c r="I1006" s="160"/>
      <c r="J1006" s="160"/>
      <c r="K1006" s="160"/>
      <c r="L1006" s="160"/>
      <c r="M1006" s="160"/>
      <c r="N1006" s="160"/>
      <c r="O1006" s="160"/>
      <c r="P1006" s="160"/>
      <c r="Q1006" s="160"/>
      <c r="R1006" s="160"/>
      <c r="S1006" s="160"/>
      <c r="T1006" s="160"/>
      <c r="U1006" s="160"/>
      <c r="V1006" s="160"/>
      <c r="W1006" s="160"/>
      <c r="X1006" s="160"/>
      <c r="Y1006" s="160"/>
      <c r="Z1006" s="160"/>
    </row>
    <row r="1007" spans="1:26" ht="13.8" x14ac:dyDescent="0.25">
      <c r="A1007" s="160"/>
      <c r="B1007" s="160"/>
      <c r="C1007" s="160"/>
      <c r="D1007" s="160"/>
      <c r="E1007" s="160"/>
      <c r="F1007" s="160"/>
      <c r="G1007" s="160"/>
      <c r="H1007" s="160"/>
      <c r="I1007" s="160"/>
      <c r="J1007" s="160"/>
      <c r="K1007" s="160"/>
      <c r="L1007" s="160"/>
      <c r="M1007" s="160"/>
      <c r="N1007" s="160"/>
      <c r="O1007" s="160"/>
      <c r="P1007" s="160"/>
      <c r="Q1007" s="160"/>
      <c r="R1007" s="160"/>
      <c r="S1007" s="160"/>
      <c r="T1007" s="160"/>
      <c r="U1007" s="160"/>
      <c r="V1007" s="160"/>
      <c r="W1007" s="160"/>
      <c r="X1007" s="160"/>
      <c r="Y1007" s="160"/>
      <c r="Z1007" s="160"/>
    </row>
    <row r="1008" spans="1:26" ht="13.8" x14ac:dyDescent="0.25">
      <c r="A1008" s="160"/>
      <c r="B1008" s="160"/>
      <c r="C1008" s="160"/>
      <c r="D1008" s="160"/>
      <c r="E1008" s="160"/>
      <c r="F1008" s="160"/>
      <c r="G1008" s="160"/>
      <c r="H1008" s="160"/>
      <c r="I1008" s="160"/>
      <c r="J1008" s="160"/>
      <c r="K1008" s="160"/>
      <c r="L1008" s="160"/>
      <c r="M1008" s="160"/>
      <c r="N1008" s="160"/>
      <c r="O1008" s="160"/>
      <c r="P1008" s="160"/>
      <c r="Q1008" s="160"/>
      <c r="R1008" s="160"/>
      <c r="S1008" s="160"/>
      <c r="T1008" s="160"/>
      <c r="U1008" s="160"/>
      <c r="V1008" s="160"/>
      <c r="W1008" s="160"/>
      <c r="X1008" s="160"/>
      <c r="Y1008" s="160"/>
      <c r="Z1008" s="160"/>
    </row>
    <row r="1009" spans="1:26" ht="13.8" x14ac:dyDescent="0.25">
      <c r="A1009" s="160"/>
      <c r="B1009" s="160"/>
      <c r="C1009" s="160"/>
      <c r="D1009" s="160"/>
      <c r="E1009" s="160"/>
      <c r="F1009" s="160"/>
      <c r="G1009" s="160"/>
      <c r="H1009" s="160"/>
      <c r="I1009" s="160"/>
      <c r="J1009" s="160"/>
      <c r="K1009" s="160"/>
      <c r="L1009" s="160"/>
      <c r="M1009" s="160"/>
      <c r="N1009" s="160"/>
      <c r="O1009" s="160"/>
      <c r="P1009" s="160"/>
      <c r="Q1009" s="160"/>
      <c r="R1009" s="160"/>
      <c r="S1009" s="160"/>
      <c r="T1009" s="160"/>
      <c r="U1009" s="160"/>
      <c r="V1009" s="160"/>
      <c r="W1009" s="160"/>
      <c r="X1009" s="160"/>
      <c r="Y1009" s="160"/>
      <c r="Z1009" s="160"/>
    </row>
    <row r="1010" spans="1:26" ht="13.8" x14ac:dyDescent="0.25">
      <c r="A1010" s="160"/>
      <c r="B1010" s="160"/>
      <c r="C1010" s="160"/>
      <c r="D1010" s="160"/>
      <c r="E1010" s="160"/>
      <c r="F1010" s="160"/>
      <c r="G1010" s="160"/>
      <c r="H1010" s="160"/>
      <c r="I1010" s="160"/>
      <c r="J1010" s="160"/>
      <c r="K1010" s="160"/>
      <c r="L1010" s="160"/>
      <c r="M1010" s="160"/>
      <c r="N1010" s="160"/>
      <c r="O1010" s="160"/>
      <c r="P1010" s="160"/>
      <c r="Q1010" s="160"/>
      <c r="R1010" s="160"/>
      <c r="S1010" s="160"/>
      <c r="T1010" s="160"/>
      <c r="U1010" s="160"/>
      <c r="V1010" s="160"/>
      <c r="W1010" s="160"/>
      <c r="X1010" s="160"/>
      <c r="Y1010" s="160"/>
      <c r="Z1010" s="160"/>
    </row>
    <row r="1011" spans="1:26" ht="13.8" x14ac:dyDescent="0.25">
      <c r="A1011" s="160"/>
      <c r="B1011" s="160"/>
      <c r="C1011" s="160"/>
      <c r="D1011" s="160"/>
      <c r="E1011" s="160"/>
      <c r="F1011" s="160"/>
      <c r="G1011" s="160"/>
      <c r="H1011" s="160"/>
      <c r="I1011" s="160"/>
      <c r="J1011" s="160"/>
      <c r="K1011" s="160"/>
      <c r="L1011" s="160"/>
      <c r="M1011" s="160"/>
      <c r="N1011" s="160"/>
      <c r="O1011" s="160"/>
      <c r="P1011" s="160"/>
      <c r="Q1011" s="160"/>
      <c r="R1011" s="160"/>
      <c r="S1011" s="160"/>
      <c r="T1011" s="160"/>
      <c r="U1011" s="160"/>
      <c r="V1011" s="160"/>
      <c r="W1011" s="160"/>
      <c r="X1011" s="160"/>
      <c r="Y1011" s="160"/>
      <c r="Z1011" s="160"/>
    </row>
    <row r="1012" spans="1:26" ht="13.8" x14ac:dyDescent="0.25">
      <c r="A1012" s="160"/>
      <c r="B1012" s="160"/>
      <c r="C1012" s="160"/>
      <c r="D1012" s="160"/>
      <c r="E1012" s="160"/>
      <c r="F1012" s="160"/>
      <c r="G1012" s="160"/>
      <c r="H1012" s="160"/>
      <c r="I1012" s="160"/>
      <c r="J1012" s="160"/>
      <c r="K1012" s="160"/>
      <c r="L1012" s="160"/>
      <c r="M1012" s="160"/>
      <c r="N1012" s="160"/>
      <c r="O1012" s="160"/>
      <c r="P1012" s="160"/>
      <c r="Q1012" s="160"/>
      <c r="R1012" s="160"/>
      <c r="S1012" s="160"/>
      <c r="T1012" s="160"/>
      <c r="U1012" s="160"/>
      <c r="V1012" s="160"/>
      <c r="W1012" s="160"/>
      <c r="X1012" s="160"/>
      <c r="Y1012" s="160"/>
      <c r="Z1012" s="160"/>
    </row>
    <row r="1013" spans="1:26" ht="13.8" x14ac:dyDescent="0.25">
      <c r="A1013" s="160"/>
      <c r="B1013" s="160"/>
      <c r="C1013" s="160"/>
      <c r="D1013" s="160"/>
      <c r="E1013" s="160"/>
      <c r="F1013" s="160"/>
      <c r="G1013" s="160"/>
      <c r="H1013" s="160"/>
      <c r="I1013" s="160"/>
      <c r="J1013" s="160"/>
      <c r="K1013" s="160"/>
      <c r="L1013" s="160"/>
      <c r="M1013" s="160"/>
      <c r="N1013" s="160"/>
      <c r="O1013" s="160"/>
      <c r="P1013" s="160"/>
      <c r="Q1013" s="160"/>
      <c r="R1013" s="160"/>
      <c r="S1013" s="160"/>
      <c r="T1013" s="160"/>
      <c r="U1013" s="160"/>
      <c r="V1013" s="160"/>
      <c r="W1013" s="160"/>
      <c r="X1013" s="160"/>
      <c r="Y1013" s="160"/>
      <c r="Z1013" s="160"/>
    </row>
    <row r="1014" spans="1:26" ht="13.8" x14ac:dyDescent="0.25">
      <c r="A1014" s="160"/>
      <c r="B1014" s="160"/>
      <c r="C1014" s="160"/>
      <c r="D1014" s="160"/>
      <c r="E1014" s="160"/>
      <c r="F1014" s="160"/>
      <c r="G1014" s="160"/>
      <c r="H1014" s="160"/>
      <c r="I1014" s="160"/>
      <c r="J1014" s="160"/>
      <c r="K1014" s="160"/>
      <c r="L1014" s="160"/>
      <c r="M1014" s="160"/>
      <c r="N1014" s="160"/>
      <c r="O1014" s="160"/>
      <c r="P1014" s="160"/>
      <c r="Q1014" s="160"/>
      <c r="R1014" s="160"/>
      <c r="S1014" s="160"/>
      <c r="T1014" s="160"/>
      <c r="U1014" s="160"/>
      <c r="V1014" s="160"/>
      <c r="W1014" s="160"/>
      <c r="X1014" s="160"/>
      <c r="Y1014" s="160"/>
      <c r="Z1014" s="160"/>
    </row>
    <row r="1015" spans="1:26" ht="13.8" x14ac:dyDescent="0.25">
      <c r="A1015" s="160"/>
      <c r="B1015" s="160"/>
      <c r="C1015" s="160"/>
      <c r="D1015" s="160"/>
      <c r="E1015" s="160"/>
      <c r="F1015" s="160"/>
      <c r="G1015" s="160"/>
      <c r="H1015" s="160"/>
      <c r="I1015" s="160"/>
      <c r="J1015" s="160"/>
      <c r="K1015" s="160"/>
      <c r="L1015" s="160"/>
      <c r="M1015" s="160"/>
      <c r="N1015" s="160"/>
      <c r="O1015" s="160"/>
      <c r="P1015" s="160"/>
      <c r="Q1015" s="160"/>
      <c r="R1015" s="160"/>
      <c r="S1015" s="160"/>
      <c r="T1015" s="160"/>
      <c r="U1015" s="160"/>
      <c r="V1015" s="160"/>
      <c r="W1015" s="160"/>
      <c r="X1015" s="160"/>
      <c r="Y1015" s="160"/>
      <c r="Z1015" s="160"/>
    </row>
    <row r="1016" spans="1:26" ht="13.8" x14ac:dyDescent="0.25">
      <c r="A1016" s="160"/>
      <c r="B1016" s="160"/>
      <c r="C1016" s="160"/>
      <c r="D1016" s="160"/>
      <c r="E1016" s="160"/>
      <c r="F1016" s="160"/>
      <c r="G1016" s="160"/>
      <c r="H1016" s="160"/>
      <c r="I1016" s="160"/>
      <c r="J1016" s="160"/>
      <c r="K1016" s="160"/>
      <c r="L1016" s="160"/>
      <c r="M1016" s="160"/>
      <c r="N1016" s="160"/>
      <c r="O1016" s="160"/>
      <c r="P1016" s="160"/>
      <c r="Q1016" s="160"/>
      <c r="R1016" s="160"/>
      <c r="S1016" s="160"/>
      <c r="T1016" s="160"/>
      <c r="U1016" s="160"/>
      <c r="V1016" s="160"/>
      <c r="W1016" s="160"/>
      <c r="X1016" s="160"/>
      <c r="Y1016" s="160"/>
      <c r="Z1016" s="160"/>
    </row>
    <row r="1017" spans="1:26" ht="13.8" x14ac:dyDescent="0.25">
      <c r="A1017" s="160"/>
      <c r="B1017" s="160"/>
      <c r="C1017" s="160"/>
      <c r="D1017" s="160"/>
      <c r="E1017" s="160"/>
      <c r="F1017" s="160"/>
      <c r="G1017" s="160"/>
      <c r="H1017" s="160"/>
      <c r="I1017" s="160"/>
      <c r="J1017" s="160"/>
      <c r="K1017" s="160"/>
      <c r="L1017" s="160"/>
      <c r="M1017" s="160"/>
      <c r="N1017" s="160"/>
      <c r="O1017" s="160"/>
      <c r="P1017" s="160"/>
      <c r="Q1017" s="160"/>
      <c r="R1017" s="160"/>
      <c r="S1017" s="160"/>
      <c r="T1017" s="160"/>
      <c r="U1017" s="160"/>
      <c r="V1017" s="160"/>
      <c r="W1017" s="160"/>
      <c r="X1017" s="160"/>
      <c r="Y1017" s="160"/>
      <c r="Z1017" s="160"/>
    </row>
    <row r="1018" spans="1:26" ht="13.8" x14ac:dyDescent="0.25">
      <c r="A1018" s="160"/>
      <c r="B1018" s="160"/>
      <c r="C1018" s="160"/>
      <c r="D1018" s="160"/>
      <c r="E1018" s="160"/>
      <c r="F1018" s="160"/>
      <c r="G1018" s="160"/>
      <c r="H1018" s="160"/>
      <c r="I1018" s="160"/>
      <c r="J1018" s="160"/>
      <c r="K1018" s="160"/>
      <c r="L1018" s="160"/>
      <c r="M1018" s="160"/>
      <c r="N1018" s="160"/>
      <c r="O1018" s="160"/>
      <c r="P1018" s="160"/>
      <c r="Q1018" s="160"/>
      <c r="R1018" s="160"/>
      <c r="S1018" s="160"/>
      <c r="T1018" s="160"/>
      <c r="U1018" s="160"/>
      <c r="V1018" s="160"/>
      <c r="W1018" s="160"/>
      <c r="X1018" s="160"/>
      <c r="Y1018" s="160"/>
      <c r="Z1018" s="160"/>
    </row>
    <row r="1019" spans="1:26" ht="13.8" x14ac:dyDescent="0.25">
      <c r="A1019" s="160"/>
      <c r="B1019" s="160"/>
      <c r="C1019" s="160"/>
      <c r="D1019" s="160"/>
      <c r="E1019" s="160"/>
      <c r="F1019" s="160"/>
      <c r="G1019" s="160"/>
      <c r="H1019" s="160"/>
      <c r="I1019" s="160"/>
      <c r="J1019" s="160"/>
      <c r="K1019" s="160"/>
      <c r="L1019" s="160"/>
      <c r="M1019" s="160"/>
      <c r="N1019" s="160"/>
      <c r="O1019" s="160"/>
      <c r="P1019" s="160"/>
      <c r="Q1019" s="160"/>
      <c r="R1019" s="160"/>
      <c r="S1019" s="160"/>
      <c r="T1019" s="160"/>
      <c r="U1019" s="160"/>
      <c r="V1019" s="160"/>
      <c r="W1019" s="160"/>
      <c r="X1019" s="160"/>
      <c r="Y1019" s="160"/>
      <c r="Z1019" s="160"/>
    </row>
    <row r="1020" spans="1:26" ht="13.8" x14ac:dyDescent="0.25">
      <c r="A1020" s="160"/>
      <c r="B1020" s="160"/>
      <c r="C1020" s="160"/>
      <c r="D1020" s="160"/>
      <c r="E1020" s="160"/>
      <c r="F1020" s="160"/>
      <c r="G1020" s="160"/>
      <c r="H1020" s="160"/>
      <c r="I1020" s="160"/>
      <c r="J1020" s="160"/>
      <c r="K1020" s="160"/>
      <c r="L1020" s="160"/>
      <c r="M1020" s="160"/>
      <c r="N1020" s="160"/>
      <c r="O1020" s="160"/>
      <c r="P1020" s="160"/>
      <c r="Q1020" s="160"/>
      <c r="R1020" s="160"/>
      <c r="S1020" s="160"/>
      <c r="T1020" s="160"/>
      <c r="U1020" s="160"/>
      <c r="V1020" s="160"/>
      <c r="W1020" s="160"/>
      <c r="X1020" s="160"/>
      <c r="Y1020" s="160"/>
      <c r="Z1020" s="160"/>
    </row>
    <row r="1021" spans="1:26" ht="13.8" x14ac:dyDescent="0.25">
      <c r="A1021" s="160"/>
      <c r="B1021" s="160"/>
      <c r="C1021" s="160"/>
      <c r="D1021" s="160"/>
      <c r="E1021" s="160"/>
      <c r="F1021" s="160"/>
      <c r="G1021" s="160"/>
      <c r="H1021" s="160"/>
      <c r="I1021" s="160"/>
      <c r="J1021" s="160"/>
      <c r="K1021" s="160"/>
      <c r="L1021" s="160"/>
      <c r="M1021" s="160"/>
      <c r="N1021" s="160"/>
      <c r="O1021" s="160"/>
      <c r="P1021" s="160"/>
      <c r="Q1021" s="160"/>
      <c r="R1021" s="160"/>
      <c r="S1021" s="160"/>
      <c r="T1021" s="160"/>
      <c r="U1021" s="160"/>
      <c r="V1021" s="160"/>
      <c r="W1021" s="160"/>
      <c r="X1021" s="160"/>
      <c r="Y1021" s="160"/>
      <c r="Z1021" s="160"/>
    </row>
    <row r="1022" spans="1:26" ht="13.8" x14ac:dyDescent="0.25">
      <c r="A1022" s="160"/>
      <c r="B1022" s="160"/>
      <c r="C1022" s="160"/>
      <c r="D1022" s="160"/>
      <c r="E1022" s="160"/>
      <c r="F1022" s="160"/>
      <c r="G1022" s="160"/>
      <c r="H1022" s="160"/>
      <c r="I1022" s="160"/>
      <c r="J1022" s="160"/>
      <c r="K1022" s="160"/>
      <c r="L1022" s="160"/>
      <c r="M1022" s="160"/>
      <c r="N1022" s="160"/>
      <c r="O1022" s="160"/>
      <c r="P1022" s="160"/>
      <c r="Q1022" s="160"/>
      <c r="R1022" s="160"/>
      <c r="S1022" s="160"/>
      <c r="T1022" s="160"/>
      <c r="U1022" s="160"/>
      <c r="V1022" s="160"/>
      <c r="W1022" s="160"/>
      <c r="X1022" s="160"/>
      <c r="Y1022" s="160"/>
      <c r="Z1022" s="160"/>
    </row>
    <row r="1023" spans="1:26" ht="13.8" x14ac:dyDescent="0.25">
      <c r="A1023" s="160"/>
      <c r="B1023" s="160"/>
      <c r="C1023" s="160"/>
      <c r="D1023" s="160"/>
      <c r="E1023" s="160"/>
      <c r="F1023" s="160"/>
      <c r="G1023" s="160"/>
      <c r="H1023" s="160"/>
      <c r="I1023" s="160"/>
      <c r="J1023" s="160"/>
      <c r="K1023" s="160"/>
      <c r="L1023" s="160"/>
      <c r="M1023" s="160"/>
      <c r="N1023" s="160"/>
      <c r="O1023" s="160"/>
      <c r="P1023" s="160"/>
      <c r="Q1023" s="160"/>
      <c r="R1023" s="160"/>
      <c r="S1023" s="160"/>
      <c r="T1023" s="160"/>
      <c r="U1023" s="160"/>
      <c r="V1023" s="160"/>
      <c r="W1023" s="160"/>
      <c r="X1023" s="160"/>
      <c r="Y1023" s="160"/>
      <c r="Z1023" s="160"/>
    </row>
    <row r="1024" spans="1:26" ht="13.8" x14ac:dyDescent="0.25">
      <c r="A1024" s="160"/>
      <c r="B1024" s="160"/>
      <c r="C1024" s="160"/>
      <c r="D1024" s="160"/>
      <c r="E1024" s="160"/>
      <c r="F1024" s="160"/>
      <c r="G1024" s="160"/>
      <c r="H1024" s="160"/>
      <c r="I1024" s="160"/>
      <c r="J1024" s="160"/>
      <c r="K1024" s="160"/>
      <c r="L1024" s="160"/>
      <c r="M1024" s="160"/>
      <c r="N1024" s="160"/>
      <c r="O1024" s="160"/>
      <c r="P1024" s="160"/>
      <c r="Q1024" s="160"/>
      <c r="R1024" s="160"/>
      <c r="S1024" s="160"/>
      <c r="T1024" s="160"/>
      <c r="U1024" s="160"/>
      <c r="V1024" s="160"/>
      <c r="W1024" s="160"/>
      <c r="X1024" s="160"/>
      <c r="Y1024" s="160"/>
      <c r="Z1024" s="160"/>
    </row>
    <row r="1025" spans="1:26" ht="13.8" x14ac:dyDescent="0.25">
      <c r="A1025" s="160"/>
      <c r="B1025" s="160"/>
      <c r="C1025" s="160"/>
      <c r="D1025" s="160"/>
      <c r="E1025" s="160"/>
      <c r="F1025" s="160"/>
      <c r="G1025" s="160"/>
      <c r="H1025" s="160"/>
      <c r="I1025" s="160"/>
      <c r="J1025" s="160"/>
      <c r="K1025" s="160"/>
      <c r="L1025" s="160"/>
      <c r="M1025" s="160"/>
      <c r="N1025" s="160"/>
      <c r="O1025" s="160"/>
      <c r="P1025" s="160"/>
      <c r="Q1025" s="160"/>
      <c r="R1025" s="160"/>
      <c r="S1025" s="160"/>
      <c r="T1025" s="160"/>
      <c r="U1025" s="160"/>
      <c r="V1025" s="160"/>
      <c r="W1025" s="160"/>
      <c r="X1025" s="160"/>
      <c r="Y1025" s="160"/>
      <c r="Z1025" s="160"/>
    </row>
    <row r="1026" spans="1:26" ht="13.8" x14ac:dyDescent="0.25">
      <c r="A1026" s="160"/>
      <c r="B1026" s="160"/>
      <c r="C1026" s="160"/>
      <c r="D1026" s="160"/>
      <c r="E1026" s="160"/>
      <c r="F1026" s="160"/>
      <c r="G1026" s="160"/>
      <c r="H1026" s="160"/>
      <c r="I1026" s="160"/>
      <c r="J1026" s="160"/>
      <c r="K1026" s="160"/>
      <c r="L1026" s="160"/>
      <c r="M1026" s="160"/>
      <c r="N1026" s="160"/>
      <c r="O1026" s="160"/>
      <c r="P1026" s="160"/>
      <c r="Q1026" s="160"/>
      <c r="R1026" s="160"/>
      <c r="S1026" s="160"/>
      <c r="T1026" s="160"/>
      <c r="U1026" s="160"/>
      <c r="V1026" s="160"/>
      <c r="W1026" s="160"/>
      <c r="X1026" s="160"/>
      <c r="Y1026" s="160"/>
      <c r="Z1026" s="160"/>
    </row>
    <row r="1027" spans="1:26" ht="13.8" x14ac:dyDescent="0.25">
      <c r="A1027" s="160"/>
      <c r="B1027" s="160"/>
      <c r="C1027" s="160"/>
      <c r="D1027" s="160"/>
      <c r="E1027" s="160"/>
      <c r="F1027" s="160"/>
      <c r="G1027" s="160"/>
      <c r="H1027" s="160"/>
      <c r="I1027" s="160"/>
      <c r="J1027" s="160"/>
      <c r="K1027" s="160"/>
      <c r="L1027" s="160"/>
      <c r="M1027" s="160"/>
      <c r="N1027" s="160"/>
      <c r="O1027" s="160"/>
      <c r="P1027" s="160"/>
      <c r="Q1027" s="160"/>
      <c r="R1027" s="160"/>
      <c r="S1027" s="160"/>
      <c r="T1027" s="160"/>
      <c r="U1027" s="160"/>
      <c r="V1027" s="160"/>
      <c r="W1027" s="160"/>
      <c r="X1027" s="160"/>
      <c r="Y1027" s="160"/>
      <c r="Z1027" s="160"/>
    </row>
    <row r="1028" spans="1:26" ht="13.8" x14ac:dyDescent="0.25">
      <c r="A1028" s="160"/>
      <c r="B1028" s="160"/>
      <c r="C1028" s="160"/>
      <c r="D1028" s="160"/>
      <c r="E1028" s="160"/>
      <c r="F1028" s="160"/>
      <c r="G1028" s="160"/>
      <c r="H1028" s="160"/>
      <c r="I1028" s="160"/>
      <c r="J1028" s="160"/>
      <c r="K1028" s="160"/>
      <c r="L1028" s="160"/>
      <c r="M1028" s="160"/>
      <c r="N1028" s="160"/>
      <c r="O1028" s="160"/>
      <c r="P1028" s="160"/>
      <c r="Q1028" s="160"/>
      <c r="R1028" s="160"/>
      <c r="S1028" s="160"/>
      <c r="T1028" s="160"/>
      <c r="U1028" s="160"/>
      <c r="V1028" s="160"/>
      <c r="W1028" s="160"/>
      <c r="X1028" s="160"/>
      <c r="Y1028" s="160"/>
      <c r="Z1028" s="160"/>
    </row>
    <row r="1029" spans="1:26" ht="13.8" x14ac:dyDescent="0.25">
      <c r="A1029" s="160"/>
      <c r="B1029" s="160"/>
      <c r="C1029" s="160"/>
      <c r="D1029" s="160"/>
      <c r="E1029" s="160"/>
      <c r="F1029" s="160"/>
      <c r="G1029" s="160"/>
      <c r="H1029" s="160"/>
      <c r="I1029" s="160"/>
      <c r="J1029" s="160"/>
      <c r="K1029" s="160"/>
      <c r="L1029" s="160"/>
      <c r="M1029" s="160"/>
      <c r="N1029" s="160"/>
      <c r="O1029" s="160"/>
      <c r="P1029" s="160"/>
      <c r="Q1029" s="160"/>
      <c r="R1029" s="160"/>
      <c r="S1029" s="160"/>
      <c r="T1029" s="160"/>
      <c r="U1029" s="160"/>
      <c r="V1029" s="160"/>
      <c r="W1029" s="160"/>
      <c r="X1029" s="160"/>
      <c r="Y1029" s="160"/>
      <c r="Z1029" s="160"/>
    </row>
    <row r="1030" spans="1:26" ht="13.8" x14ac:dyDescent="0.25">
      <c r="A1030" s="160"/>
      <c r="B1030" s="160"/>
      <c r="C1030" s="160"/>
      <c r="D1030" s="160"/>
      <c r="E1030" s="160"/>
      <c r="F1030" s="160"/>
      <c r="G1030" s="160"/>
      <c r="H1030" s="160"/>
      <c r="I1030" s="160"/>
      <c r="J1030" s="160"/>
      <c r="K1030" s="160"/>
      <c r="L1030" s="160"/>
      <c r="M1030" s="160"/>
      <c r="N1030" s="160"/>
      <c r="O1030" s="160"/>
      <c r="P1030" s="160"/>
      <c r="Q1030" s="160"/>
      <c r="R1030" s="160"/>
      <c r="S1030" s="160"/>
      <c r="T1030" s="160"/>
      <c r="U1030" s="160"/>
      <c r="V1030" s="160"/>
      <c r="W1030" s="160"/>
      <c r="X1030" s="160"/>
      <c r="Y1030" s="160"/>
      <c r="Z1030" s="160"/>
    </row>
    <row r="1031" spans="1:26" ht="13.8" x14ac:dyDescent="0.25">
      <c r="A1031" s="160"/>
      <c r="B1031" s="160"/>
      <c r="C1031" s="160"/>
      <c r="D1031" s="160"/>
      <c r="E1031" s="160"/>
      <c r="F1031" s="160"/>
      <c r="G1031" s="160"/>
      <c r="H1031" s="160"/>
      <c r="I1031" s="160"/>
      <c r="J1031" s="160"/>
      <c r="K1031" s="160"/>
      <c r="L1031" s="160"/>
      <c r="M1031" s="160"/>
      <c r="N1031" s="160"/>
      <c r="O1031" s="160"/>
      <c r="P1031" s="160"/>
      <c r="Q1031" s="160"/>
      <c r="R1031" s="160"/>
      <c r="S1031" s="160"/>
      <c r="T1031" s="160"/>
      <c r="U1031" s="160"/>
      <c r="V1031" s="160"/>
      <c r="W1031" s="160"/>
      <c r="X1031" s="160"/>
      <c r="Y1031" s="160"/>
      <c r="Z1031" s="160"/>
    </row>
    <row r="1032" spans="1:26" ht="13.8" x14ac:dyDescent="0.25">
      <c r="A1032" s="160"/>
      <c r="B1032" s="160"/>
      <c r="C1032" s="160"/>
      <c r="D1032" s="160"/>
      <c r="E1032" s="160"/>
      <c r="F1032" s="160"/>
      <c r="G1032" s="160"/>
      <c r="H1032" s="160"/>
      <c r="I1032" s="160"/>
      <c r="J1032" s="160"/>
      <c r="K1032" s="160"/>
      <c r="L1032" s="160"/>
      <c r="M1032" s="160"/>
      <c r="N1032" s="160"/>
      <c r="O1032" s="160"/>
      <c r="P1032" s="160"/>
      <c r="Q1032" s="160"/>
      <c r="R1032" s="160"/>
      <c r="S1032" s="160"/>
      <c r="T1032" s="160"/>
      <c r="U1032" s="160"/>
      <c r="V1032" s="160"/>
      <c r="W1032" s="160"/>
      <c r="X1032" s="160"/>
      <c r="Y1032" s="160"/>
      <c r="Z1032" s="160"/>
    </row>
    <row r="1033" spans="1:26" ht="13.8" x14ac:dyDescent="0.25">
      <c r="A1033" s="160"/>
      <c r="B1033" s="160"/>
      <c r="C1033" s="160"/>
      <c r="D1033" s="160"/>
      <c r="E1033" s="160"/>
      <c r="F1033" s="160"/>
      <c r="G1033" s="160"/>
      <c r="H1033" s="160"/>
      <c r="I1033" s="160"/>
      <c r="J1033" s="160"/>
      <c r="K1033" s="160"/>
      <c r="L1033" s="160"/>
      <c r="M1033" s="160"/>
      <c r="N1033" s="160"/>
      <c r="O1033" s="160"/>
      <c r="P1033" s="160"/>
      <c r="Q1033" s="160"/>
      <c r="R1033" s="160"/>
      <c r="S1033" s="160"/>
      <c r="T1033" s="160"/>
      <c r="U1033" s="160"/>
      <c r="V1033" s="160"/>
      <c r="W1033" s="160"/>
      <c r="X1033" s="160"/>
      <c r="Y1033" s="160"/>
      <c r="Z1033" s="160"/>
    </row>
    <row r="1034" spans="1:26" ht="13.8" x14ac:dyDescent="0.25">
      <c r="A1034" s="160"/>
      <c r="B1034" s="160"/>
      <c r="C1034" s="160"/>
      <c r="D1034" s="160"/>
      <c r="E1034" s="160"/>
      <c r="F1034" s="160"/>
      <c r="G1034" s="160"/>
      <c r="H1034" s="160"/>
      <c r="I1034" s="160"/>
      <c r="J1034" s="160"/>
      <c r="K1034" s="160"/>
      <c r="L1034" s="160"/>
      <c r="M1034" s="160"/>
      <c r="N1034" s="160"/>
      <c r="O1034" s="160"/>
      <c r="P1034" s="160"/>
      <c r="Q1034" s="160"/>
      <c r="R1034" s="160"/>
      <c r="S1034" s="160"/>
      <c r="T1034" s="160"/>
      <c r="U1034" s="160"/>
      <c r="V1034" s="160"/>
      <c r="W1034" s="160"/>
      <c r="X1034" s="160"/>
      <c r="Y1034" s="160"/>
      <c r="Z1034" s="160"/>
    </row>
    <row r="1035" spans="1:26" ht="13.8" x14ac:dyDescent="0.25">
      <c r="A1035" s="160"/>
      <c r="B1035" s="160"/>
      <c r="C1035" s="160"/>
      <c r="D1035" s="160"/>
      <c r="E1035" s="160"/>
      <c r="F1035" s="160"/>
      <c r="G1035" s="160"/>
      <c r="H1035" s="160"/>
      <c r="I1035" s="160"/>
      <c r="J1035" s="160"/>
      <c r="K1035" s="160"/>
      <c r="L1035" s="160"/>
      <c r="M1035" s="160"/>
      <c r="N1035" s="160"/>
      <c r="O1035" s="160"/>
      <c r="P1035" s="160"/>
      <c r="Q1035" s="160"/>
      <c r="R1035" s="160"/>
      <c r="S1035" s="160"/>
      <c r="T1035" s="160"/>
      <c r="U1035" s="160"/>
      <c r="V1035" s="160"/>
      <c r="W1035" s="160"/>
      <c r="X1035" s="160"/>
      <c r="Y1035" s="160"/>
      <c r="Z1035" s="160"/>
    </row>
    <row r="1036" spans="1:26" ht="13.8" x14ac:dyDescent="0.25">
      <c r="A1036" s="160"/>
      <c r="B1036" s="160"/>
      <c r="C1036" s="160"/>
      <c r="D1036" s="160"/>
      <c r="E1036" s="160"/>
      <c r="F1036" s="160"/>
      <c r="G1036" s="160"/>
      <c r="H1036" s="160"/>
      <c r="I1036" s="160"/>
      <c r="J1036" s="160"/>
      <c r="K1036" s="160"/>
      <c r="L1036" s="160"/>
      <c r="M1036" s="160"/>
      <c r="N1036" s="160"/>
      <c r="O1036" s="160"/>
      <c r="P1036" s="160"/>
      <c r="Q1036" s="160"/>
      <c r="R1036" s="160"/>
      <c r="S1036" s="160"/>
      <c r="T1036" s="160"/>
      <c r="U1036" s="160"/>
      <c r="V1036" s="160"/>
      <c r="W1036" s="160"/>
      <c r="X1036" s="160"/>
      <c r="Y1036" s="160"/>
      <c r="Z1036" s="160"/>
    </row>
    <row r="1037" spans="1:26" ht="13.8" x14ac:dyDescent="0.25">
      <c r="A1037" s="160"/>
      <c r="B1037" s="160"/>
      <c r="C1037" s="160"/>
      <c r="D1037" s="160"/>
      <c r="E1037" s="160"/>
      <c r="F1037" s="160"/>
      <c r="G1037" s="160"/>
      <c r="H1037" s="160"/>
      <c r="I1037" s="160"/>
      <c r="J1037" s="160"/>
      <c r="K1037" s="160"/>
      <c r="L1037" s="160"/>
      <c r="M1037" s="160"/>
      <c r="N1037" s="160"/>
      <c r="O1037" s="160"/>
      <c r="P1037" s="160"/>
      <c r="Q1037" s="160"/>
      <c r="R1037" s="160"/>
      <c r="S1037" s="160"/>
      <c r="T1037" s="160"/>
      <c r="U1037" s="160"/>
      <c r="V1037" s="160"/>
      <c r="W1037" s="160"/>
      <c r="X1037" s="160"/>
      <c r="Y1037" s="160"/>
      <c r="Z1037" s="160"/>
    </row>
    <row r="1038" spans="1:26" ht="13.8" x14ac:dyDescent="0.25">
      <c r="A1038" s="160"/>
      <c r="B1038" s="160"/>
      <c r="C1038" s="160"/>
      <c r="D1038" s="160"/>
      <c r="E1038" s="160"/>
      <c r="F1038" s="160"/>
      <c r="G1038" s="160"/>
      <c r="H1038" s="160"/>
      <c r="I1038" s="160"/>
      <c r="J1038" s="160"/>
      <c r="K1038" s="160"/>
      <c r="L1038" s="160"/>
      <c r="M1038" s="160"/>
      <c r="N1038" s="160"/>
      <c r="O1038" s="160"/>
      <c r="P1038" s="160"/>
      <c r="Q1038" s="160"/>
      <c r="R1038" s="160"/>
      <c r="S1038" s="160"/>
      <c r="T1038" s="160"/>
      <c r="U1038" s="160"/>
      <c r="V1038" s="160"/>
      <c r="W1038" s="160"/>
      <c r="X1038" s="160"/>
      <c r="Y1038" s="160"/>
      <c r="Z1038" s="160"/>
    </row>
    <row r="1039" spans="1:26" ht="13.8" x14ac:dyDescent="0.25">
      <c r="A1039" s="160"/>
      <c r="B1039" s="160"/>
      <c r="C1039" s="160"/>
      <c r="D1039" s="160"/>
      <c r="E1039" s="160"/>
      <c r="F1039" s="160"/>
      <c r="G1039" s="160"/>
      <c r="H1039" s="160"/>
      <c r="I1039" s="160"/>
      <c r="J1039" s="160"/>
      <c r="K1039" s="160"/>
      <c r="L1039" s="160"/>
      <c r="M1039" s="160"/>
      <c r="N1039" s="160"/>
      <c r="O1039" s="160"/>
      <c r="P1039" s="160"/>
      <c r="Q1039" s="160"/>
      <c r="R1039" s="160"/>
      <c r="S1039" s="160"/>
      <c r="T1039" s="160"/>
      <c r="U1039" s="160"/>
      <c r="V1039" s="160"/>
      <c r="W1039" s="160"/>
      <c r="X1039" s="160"/>
      <c r="Y1039" s="160"/>
      <c r="Z1039" s="160"/>
    </row>
    <row r="1040" spans="1:26" ht="13.8" x14ac:dyDescent="0.25">
      <c r="A1040" s="160"/>
      <c r="B1040" s="160"/>
      <c r="C1040" s="160"/>
      <c r="D1040" s="160"/>
      <c r="E1040" s="160"/>
      <c r="F1040" s="160"/>
      <c r="G1040" s="160"/>
      <c r="H1040" s="160"/>
      <c r="I1040" s="160"/>
      <c r="J1040" s="160"/>
      <c r="K1040" s="160"/>
      <c r="L1040" s="160"/>
      <c r="M1040" s="160"/>
      <c r="N1040" s="160"/>
      <c r="O1040" s="160"/>
      <c r="P1040" s="160"/>
      <c r="Q1040" s="160"/>
      <c r="R1040" s="160"/>
      <c r="S1040" s="160"/>
      <c r="T1040" s="160"/>
      <c r="U1040" s="160"/>
      <c r="V1040" s="160"/>
      <c r="W1040" s="160"/>
      <c r="X1040" s="160"/>
      <c r="Y1040" s="160"/>
      <c r="Z1040" s="160"/>
    </row>
    <row r="1041" spans="1:26" ht="13.8" x14ac:dyDescent="0.25">
      <c r="A1041" s="160"/>
      <c r="B1041" s="160"/>
      <c r="C1041" s="160"/>
      <c r="D1041" s="160"/>
      <c r="E1041" s="160"/>
      <c r="F1041" s="160"/>
      <c r="G1041" s="160"/>
      <c r="H1041" s="160"/>
      <c r="I1041" s="160"/>
      <c r="J1041" s="160"/>
      <c r="K1041" s="160"/>
      <c r="L1041" s="160"/>
      <c r="M1041" s="160"/>
      <c r="N1041" s="160"/>
      <c r="O1041" s="160"/>
      <c r="P1041" s="160"/>
      <c r="Q1041" s="160"/>
      <c r="R1041" s="160"/>
      <c r="S1041" s="160"/>
      <c r="T1041" s="160"/>
      <c r="U1041" s="160"/>
      <c r="V1041" s="160"/>
      <c r="W1041" s="160"/>
      <c r="X1041" s="160"/>
      <c r="Y1041" s="160"/>
      <c r="Z1041" s="160"/>
    </row>
    <row r="1042" spans="1:26" ht="13.8" x14ac:dyDescent="0.25">
      <c r="A1042" s="160"/>
      <c r="B1042" s="160"/>
      <c r="C1042" s="160"/>
      <c r="D1042" s="160"/>
      <c r="E1042" s="160"/>
      <c r="F1042" s="160"/>
      <c r="G1042" s="160"/>
      <c r="H1042" s="160"/>
      <c r="I1042" s="160"/>
      <c r="J1042" s="160"/>
      <c r="K1042" s="160"/>
      <c r="L1042" s="160"/>
      <c r="M1042" s="160"/>
      <c r="N1042" s="160"/>
      <c r="O1042" s="160"/>
      <c r="P1042" s="160"/>
      <c r="Q1042" s="160"/>
      <c r="R1042" s="160"/>
      <c r="S1042" s="160"/>
      <c r="T1042" s="160"/>
      <c r="U1042" s="160"/>
      <c r="V1042" s="160"/>
      <c r="W1042" s="160"/>
      <c r="X1042" s="160"/>
      <c r="Y1042" s="160"/>
      <c r="Z1042" s="160"/>
    </row>
    <row r="1043" spans="1:26" ht="13.8" x14ac:dyDescent="0.25">
      <c r="A1043" s="160"/>
      <c r="B1043" s="160"/>
      <c r="C1043" s="160"/>
      <c r="D1043" s="160"/>
      <c r="E1043" s="160"/>
      <c r="F1043" s="160"/>
      <c r="G1043" s="160"/>
      <c r="H1043" s="160"/>
      <c r="I1043" s="160"/>
      <c r="J1043" s="160"/>
      <c r="K1043" s="160"/>
      <c r="L1043" s="160"/>
      <c r="M1043" s="160"/>
      <c r="N1043" s="160"/>
      <c r="O1043" s="160"/>
      <c r="P1043" s="160"/>
      <c r="Q1043" s="160"/>
      <c r="R1043" s="160"/>
      <c r="S1043" s="160"/>
      <c r="T1043" s="160"/>
      <c r="U1043" s="160"/>
      <c r="V1043" s="160"/>
      <c r="W1043" s="160"/>
      <c r="X1043" s="160"/>
      <c r="Y1043" s="160"/>
      <c r="Z1043" s="160"/>
    </row>
    <row r="1044" spans="1:26" ht="13.8" x14ac:dyDescent="0.25">
      <c r="A1044" s="160"/>
      <c r="B1044" s="160"/>
      <c r="C1044" s="160"/>
      <c r="D1044" s="160"/>
      <c r="E1044" s="160"/>
      <c r="F1044" s="160"/>
      <c r="G1044" s="160"/>
      <c r="H1044" s="160"/>
      <c r="I1044" s="160"/>
      <c r="J1044" s="160"/>
      <c r="K1044" s="160"/>
      <c r="L1044" s="160"/>
      <c r="M1044" s="160"/>
      <c r="N1044" s="160"/>
      <c r="O1044" s="160"/>
      <c r="P1044" s="160"/>
      <c r="Q1044" s="160"/>
      <c r="R1044" s="160"/>
      <c r="S1044" s="160"/>
      <c r="T1044" s="160"/>
      <c r="U1044" s="160"/>
      <c r="V1044" s="160"/>
      <c r="W1044" s="160"/>
      <c r="X1044" s="160"/>
      <c r="Y1044" s="160"/>
      <c r="Z1044" s="160"/>
    </row>
    <row r="1045" spans="1:26" ht="13.8" x14ac:dyDescent="0.25">
      <c r="A1045" s="160"/>
      <c r="B1045" s="160"/>
      <c r="C1045" s="160"/>
      <c r="D1045" s="160"/>
      <c r="E1045" s="160"/>
      <c r="F1045" s="160"/>
      <c r="G1045" s="160"/>
      <c r="H1045" s="160"/>
      <c r="I1045" s="160"/>
      <c r="J1045" s="160"/>
      <c r="K1045" s="160"/>
      <c r="L1045" s="160"/>
      <c r="M1045" s="160"/>
      <c r="N1045" s="160"/>
      <c r="O1045" s="160"/>
      <c r="P1045" s="160"/>
      <c r="Q1045" s="160"/>
      <c r="R1045" s="160"/>
      <c r="S1045" s="160"/>
      <c r="T1045" s="160"/>
      <c r="U1045" s="160"/>
      <c r="V1045" s="160"/>
      <c r="W1045" s="160"/>
      <c r="X1045" s="160"/>
      <c r="Y1045" s="160"/>
      <c r="Z1045" s="160"/>
    </row>
    <row r="1046" spans="1:26" ht="13.8" x14ac:dyDescent="0.25">
      <c r="A1046" s="160"/>
      <c r="B1046" s="160"/>
      <c r="C1046" s="160"/>
      <c r="D1046" s="160"/>
      <c r="E1046" s="160"/>
      <c r="F1046" s="160"/>
      <c r="G1046" s="160"/>
      <c r="H1046" s="160"/>
      <c r="I1046" s="160"/>
      <c r="J1046" s="160"/>
      <c r="K1046" s="160"/>
      <c r="L1046" s="160"/>
      <c r="M1046" s="160"/>
      <c r="N1046" s="160"/>
      <c r="O1046" s="160"/>
      <c r="P1046" s="160"/>
      <c r="Q1046" s="160"/>
      <c r="R1046" s="160"/>
      <c r="S1046" s="160"/>
      <c r="T1046" s="160"/>
      <c r="U1046" s="160"/>
      <c r="V1046" s="160"/>
      <c r="W1046" s="160"/>
      <c r="X1046" s="160"/>
      <c r="Y1046" s="160"/>
      <c r="Z1046" s="160"/>
    </row>
    <row r="1047" spans="1:26" ht="13.8" x14ac:dyDescent="0.25">
      <c r="A1047" s="160"/>
      <c r="B1047" s="160"/>
      <c r="C1047" s="160"/>
      <c r="D1047" s="160"/>
      <c r="E1047" s="160"/>
      <c r="F1047" s="160"/>
      <c r="G1047" s="160"/>
      <c r="H1047" s="160"/>
      <c r="I1047" s="160"/>
      <c r="J1047" s="160"/>
      <c r="K1047" s="160"/>
      <c r="L1047" s="160"/>
      <c r="M1047" s="160"/>
      <c r="N1047" s="160"/>
      <c r="O1047" s="160"/>
      <c r="P1047" s="160"/>
      <c r="Q1047" s="160"/>
      <c r="R1047" s="160"/>
      <c r="S1047" s="160"/>
      <c r="T1047" s="160"/>
      <c r="U1047" s="160"/>
      <c r="V1047" s="160"/>
      <c r="W1047" s="160"/>
      <c r="X1047" s="160"/>
      <c r="Y1047" s="160"/>
      <c r="Z1047" s="160"/>
    </row>
    <row r="1048" spans="1:26" ht="13.8" x14ac:dyDescent="0.25">
      <c r="A1048" s="160"/>
      <c r="B1048" s="160"/>
      <c r="C1048" s="160"/>
      <c r="D1048" s="160"/>
      <c r="E1048" s="160"/>
      <c r="F1048" s="160"/>
      <c r="G1048" s="160"/>
      <c r="H1048" s="160"/>
      <c r="I1048" s="160"/>
      <c r="J1048" s="160"/>
      <c r="K1048" s="160"/>
      <c r="L1048" s="160"/>
      <c r="M1048" s="160"/>
      <c r="N1048" s="160"/>
      <c r="O1048" s="160"/>
      <c r="P1048" s="160"/>
      <c r="Q1048" s="160"/>
      <c r="R1048" s="160"/>
      <c r="S1048" s="160"/>
      <c r="T1048" s="160"/>
      <c r="U1048" s="160"/>
      <c r="V1048" s="160"/>
      <c r="W1048" s="160"/>
      <c r="X1048" s="160"/>
      <c r="Y1048" s="160"/>
      <c r="Z1048" s="160"/>
    </row>
    <row r="1049" spans="1:26" ht="13.8" x14ac:dyDescent="0.25">
      <c r="A1049" s="160"/>
      <c r="B1049" s="160"/>
      <c r="C1049" s="160"/>
      <c r="D1049" s="160"/>
      <c r="E1049" s="160"/>
      <c r="F1049" s="160"/>
      <c r="G1049" s="160"/>
      <c r="H1049" s="160"/>
      <c r="I1049" s="160"/>
      <c r="J1049" s="160"/>
      <c r="K1049" s="160"/>
      <c r="L1049" s="160"/>
      <c r="M1049" s="160"/>
      <c r="N1049" s="160"/>
      <c r="O1049" s="160"/>
      <c r="P1049" s="160"/>
      <c r="Q1049" s="160"/>
      <c r="R1049" s="160"/>
      <c r="S1049" s="160"/>
      <c r="T1049" s="160"/>
      <c r="U1049" s="160"/>
      <c r="V1049" s="160"/>
      <c r="W1049" s="160"/>
      <c r="X1049" s="160"/>
      <c r="Y1049" s="160"/>
      <c r="Z1049" s="160"/>
    </row>
    <row r="1050" spans="1:26" ht="13.8" x14ac:dyDescent="0.25">
      <c r="A1050" s="160"/>
      <c r="B1050" s="160"/>
      <c r="C1050" s="160"/>
      <c r="D1050" s="160"/>
      <c r="E1050" s="160"/>
      <c r="F1050" s="160"/>
      <c r="G1050" s="160"/>
      <c r="H1050" s="160"/>
      <c r="I1050" s="160"/>
      <c r="J1050" s="160"/>
      <c r="K1050" s="160"/>
      <c r="L1050" s="160"/>
      <c r="M1050" s="160"/>
      <c r="N1050" s="160"/>
      <c r="O1050" s="160"/>
      <c r="P1050" s="160"/>
      <c r="Q1050" s="160"/>
      <c r="R1050" s="160"/>
      <c r="S1050" s="160"/>
      <c r="T1050" s="160"/>
      <c r="U1050" s="160"/>
      <c r="V1050" s="160"/>
      <c r="W1050" s="160"/>
      <c r="X1050" s="160"/>
      <c r="Y1050" s="160"/>
      <c r="Z1050" s="160"/>
    </row>
    <row r="1051" spans="1:26" ht="13.8" x14ac:dyDescent="0.25">
      <c r="A1051" s="160"/>
      <c r="B1051" s="160"/>
      <c r="C1051" s="160"/>
      <c r="D1051" s="160"/>
      <c r="E1051" s="160"/>
      <c r="F1051" s="160"/>
      <c r="G1051" s="160"/>
      <c r="H1051" s="160"/>
      <c r="I1051" s="160"/>
      <c r="J1051" s="160"/>
      <c r="K1051" s="160"/>
      <c r="L1051" s="160"/>
      <c r="M1051" s="160"/>
      <c r="N1051" s="160"/>
      <c r="O1051" s="160"/>
      <c r="P1051" s="160"/>
      <c r="Q1051" s="160"/>
      <c r="R1051" s="160"/>
      <c r="S1051" s="160"/>
      <c r="T1051" s="160"/>
      <c r="U1051" s="160"/>
      <c r="V1051" s="160"/>
      <c r="W1051" s="160"/>
      <c r="X1051" s="160"/>
      <c r="Y1051" s="160"/>
      <c r="Z1051" s="160"/>
    </row>
    <row r="1052" spans="1:26" ht="13.8" x14ac:dyDescent="0.25">
      <c r="A1052" s="160"/>
      <c r="B1052" s="160"/>
      <c r="C1052" s="160"/>
      <c r="D1052" s="160"/>
      <c r="E1052" s="160"/>
      <c r="F1052" s="160"/>
      <c r="G1052" s="160"/>
      <c r="H1052" s="160"/>
      <c r="I1052" s="160"/>
      <c r="J1052" s="160"/>
      <c r="K1052" s="160"/>
      <c r="L1052" s="160"/>
      <c r="M1052" s="160"/>
      <c r="N1052" s="160"/>
      <c r="O1052" s="160"/>
      <c r="P1052" s="160"/>
      <c r="Q1052" s="160"/>
      <c r="R1052" s="160"/>
      <c r="S1052" s="160"/>
      <c r="T1052" s="160"/>
      <c r="U1052" s="160"/>
      <c r="V1052" s="160"/>
      <c r="W1052" s="160"/>
      <c r="X1052" s="160"/>
      <c r="Y1052" s="160"/>
      <c r="Z1052" s="160"/>
    </row>
    <row r="1053" spans="1:26" ht="13.8" x14ac:dyDescent="0.25">
      <c r="A1053" s="160"/>
      <c r="B1053" s="160"/>
      <c r="C1053" s="160"/>
      <c r="D1053" s="160"/>
      <c r="E1053" s="160"/>
      <c r="F1053" s="160"/>
      <c r="G1053" s="160"/>
      <c r="H1053" s="160"/>
      <c r="I1053" s="160"/>
      <c r="J1053" s="160"/>
      <c r="K1053" s="160"/>
      <c r="L1053" s="160"/>
      <c r="M1053" s="160"/>
      <c r="N1053" s="160"/>
      <c r="O1053" s="160"/>
      <c r="P1053" s="160"/>
      <c r="Q1053" s="160"/>
      <c r="R1053" s="160"/>
      <c r="S1053" s="160"/>
      <c r="T1053" s="160"/>
      <c r="U1053" s="160"/>
      <c r="V1053" s="160"/>
      <c r="W1053" s="160"/>
      <c r="X1053" s="160"/>
      <c r="Y1053" s="160"/>
      <c r="Z1053" s="160"/>
    </row>
    <row r="1054" spans="1:26" ht="13.8" x14ac:dyDescent="0.25">
      <c r="A1054" s="160"/>
      <c r="B1054" s="160"/>
      <c r="C1054" s="160"/>
      <c r="D1054" s="160"/>
      <c r="E1054" s="160"/>
      <c r="F1054" s="160"/>
      <c r="G1054" s="160"/>
      <c r="H1054" s="160"/>
      <c r="I1054" s="160"/>
      <c r="J1054" s="160"/>
      <c r="K1054" s="160"/>
      <c r="L1054" s="160"/>
      <c r="M1054" s="160"/>
      <c r="N1054" s="160"/>
      <c r="O1054" s="160"/>
      <c r="P1054" s="160"/>
      <c r="Q1054" s="160"/>
      <c r="R1054" s="160"/>
      <c r="S1054" s="160"/>
      <c r="T1054" s="160"/>
      <c r="U1054" s="160"/>
      <c r="V1054" s="160"/>
      <c r="W1054" s="160"/>
      <c r="X1054" s="160"/>
      <c r="Y1054" s="160"/>
      <c r="Z1054" s="160"/>
    </row>
    <row r="1055" spans="1:26" ht="13.8" x14ac:dyDescent="0.25">
      <c r="A1055" s="160"/>
      <c r="B1055" s="160"/>
      <c r="C1055" s="160"/>
      <c r="D1055" s="160"/>
      <c r="E1055" s="160"/>
      <c r="F1055" s="160"/>
      <c r="G1055" s="160"/>
      <c r="H1055" s="160"/>
      <c r="I1055" s="160"/>
      <c r="J1055" s="160"/>
      <c r="K1055" s="160"/>
      <c r="L1055" s="160"/>
      <c r="M1055" s="160"/>
      <c r="N1055" s="160"/>
      <c r="O1055" s="160"/>
      <c r="P1055" s="160"/>
      <c r="Q1055" s="160"/>
      <c r="R1055" s="160"/>
      <c r="S1055" s="160"/>
      <c r="T1055" s="160"/>
      <c r="U1055" s="160"/>
      <c r="V1055" s="160"/>
      <c r="W1055" s="160"/>
      <c r="X1055" s="160"/>
      <c r="Y1055" s="160"/>
      <c r="Z1055" s="160"/>
    </row>
    <row r="1056" spans="1:26" ht="13.8" x14ac:dyDescent="0.25">
      <c r="A1056" s="160"/>
      <c r="B1056" s="160"/>
      <c r="C1056" s="160"/>
      <c r="D1056" s="160"/>
      <c r="E1056" s="160"/>
      <c r="F1056" s="160"/>
      <c r="G1056" s="160"/>
      <c r="H1056" s="160"/>
      <c r="I1056" s="160"/>
      <c r="J1056" s="160"/>
      <c r="K1056" s="160"/>
      <c r="L1056" s="160"/>
      <c r="M1056" s="160"/>
      <c r="N1056" s="160"/>
      <c r="O1056" s="160"/>
      <c r="P1056" s="160"/>
      <c r="Q1056" s="160"/>
      <c r="R1056" s="160"/>
      <c r="S1056" s="160"/>
      <c r="T1056" s="160"/>
      <c r="U1056" s="160"/>
      <c r="V1056" s="160"/>
      <c r="W1056" s="160"/>
      <c r="X1056" s="160"/>
      <c r="Y1056" s="160"/>
      <c r="Z1056" s="160"/>
    </row>
    <row r="1057" spans="1:26" ht="13.8" x14ac:dyDescent="0.25">
      <c r="A1057" s="160"/>
      <c r="B1057" s="160"/>
      <c r="C1057" s="160"/>
      <c r="D1057" s="160"/>
      <c r="E1057" s="160"/>
      <c r="F1057" s="160"/>
      <c r="G1057" s="160"/>
      <c r="H1057" s="160"/>
      <c r="I1057" s="160"/>
      <c r="J1057" s="160"/>
      <c r="K1057" s="160"/>
      <c r="L1057" s="160"/>
      <c r="M1057" s="160"/>
      <c r="N1057" s="160"/>
      <c r="O1057" s="160"/>
      <c r="P1057" s="160"/>
      <c r="Q1057" s="160"/>
      <c r="R1057" s="160"/>
      <c r="S1057" s="160"/>
      <c r="T1057" s="160"/>
      <c r="U1057" s="160"/>
      <c r="V1057" s="160"/>
      <c r="W1057" s="160"/>
      <c r="X1057" s="160"/>
      <c r="Y1057" s="160"/>
      <c r="Z1057" s="160"/>
    </row>
    <row r="1058" spans="1:26" ht="13.8" x14ac:dyDescent="0.25">
      <c r="A1058" s="160"/>
      <c r="B1058" s="160"/>
      <c r="C1058" s="160"/>
      <c r="D1058" s="160"/>
      <c r="E1058" s="160"/>
      <c r="F1058" s="160"/>
      <c r="G1058" s="160"/>
      <c r="H1058" s="160"/>
      <c r="I1058" s="160"/>
      <c r="J1058" s="160"/>
      <c r="K1058" s="160"/>
      <c r="L1058" s="160"/>
      <c r="M1058" s="160"/>
      <c r="N1058" s="160"/>
      <c r="O1058" s="160"/>
      <c r="P1058" s="160"/>
      <c r="Q1058" s="160"/>
      <c r="R1058" s="160"/>
      <c r="S1058" s="160"/>
      <c r="T1058" s="160"/>
      <c r="U1058" s="160"/>
      <c r="V1058" s="160"/>
      <c r="W1058" s="160"/>
      <c r="X1058" s="160"/>
      <c r="Y1058" s="160"/>
      <c r="Z1058" s="160"/>
    </row>
    <row r="1059" spans="1:26" ht="13.8" x14ac:dyDescent="0.25">
      <c r="A1059" s="160"/>
      <c r="B1059" s="160"/>
      <c r="C1059" s="160"/>
      <c r="D1059" s="160"/>
      <c r="E1059" s="160"/>
      <c r="F1059" s="160"/>
      <c r="G1059" s="160"/>
      <c r="H1059" s="160"/>
      <c r="I1059" s="160"/>
      <c r="J1059" s="160"/>
      <c r="K1059" s="160"/>
      <c r="L1059" s="160"/>
      <c r="M1059" s="160"/>
      <c r="N1059" s="160"/>
      <c r="O1059" s="160"/>
      <c r="P1059" s="160"/>
      <c r="Q1059" s="160"/>
      <c r="R1059" s="160"/>
      <c r="S1059" s="160"/>
      <c r="T1059" s="160"/>
      <c r="U1059" s="160"/>
      <c r="V1059" s="160"/>
      <c r="W1059" s="160"/>
      <c r="X1059" s="160"/>
      <c r="Y1059" s="160"/>
      <c r="Z1059" s="160"/>
    </row>
    <row r="1060" spans="1:26" ht="13.8" x14ac:dyDescent="0.25">
      <c r="A1060" s="160"/>
      <c r="B1060" s="160"/>
      <c r="C1060" s="160"/>
      <c r="D1060" s="160"/>
      <c r="E1060" s="160"/>
      <c r="F1060" s="160"/>
      <c r="G1060" s="160"/>
      <c r="H1060" s="160"/>
      <c r="I1060" s="160"/>
      <c r="J1060" s="160"/>
      <c r="K1060" s="160"/>
      <c r="L1060" s="160"/>
      <c r="M1060" s="160"/>
      <c r="N1060" s="160"/>
      <c r="O1060" s="160"/>
      <c r="P1060" s="160"/>
      <c r="Q1060" s="160"/>
      <c r="R1060" s="160"/>
      <c r="S1060" s="160"/>
      <c r="T1060" s="160"/>
      <c r="U1060" s="160"/>
      <c r="V1060" s="160"/>
      <c r="W1060" s="160"/>
      <c r="X1060" s="160"/>
      <c r="Y1060" s="160"/>
      <c r="Z1060" s="160"/>
    </row>
    <row r="1061" spans="1:26" ht="13.8" x14ac:dyDescent="0.25">
      <c r="A1061" s="160"/>
      <c r="B1061" s="160"/>
      <c r="C1061" s="160"/>
      <c r="D1061" s="160"/>
      <c r="E1061" s="160"/>
      <c r="F1061" s="160"/>
      <c r="G1061" s="160"/>
      <c r="H1061" s="160"/>
      <c r="I1061" s="160"/>
      <c r="J1061" s="160"/>
      <c r="K1061" s="160"/>
      <c r="L1061" s="160"/>
      <c r="M1061" s="160"/>
      <c r="N1061" s="160"/>
      <c r="O1061" s="160"/>
      <c r="P1061" s="160"/>
      <c r="Q1061" s="160"/>
      <c r="R1061" s="160"/>
      <c r="S1061" s="160"/>
      <c r="T1061" s="160"/>
      <c r="U1061" s="160"/>
      <c r="V1061" s="160"/>
      <c r="W1061" s="160"/>
      <c r="X1061" s="160"/>
      <c r="Y1061" s="160"/>
      <c r="Z1061" s="160"/>
    </row>
    <row r="1062" spans="1:26" ht="13.8" x14ac:dyDescent="0.25">
      <c r="A1062" s="160"/>
      <c r="B1062" s="160"/>
      <c r="C1062" s="160"/>
      <c r="D1062" s="160"/>
      <c r="E1062" s="160"/>
      <c r="F1062" s="160"/>
      <c r="G1062" s="160"/>
      <c r="H1062" s="160"/>
      <c r="I1062" s="160"/>
      <c r="J1062" s="160"/>
      <c r="K1062" s="160"/>
      <c r="L1062" s="160"/>
      <c r="M1062" s="160"/>
      <c r="N1062" s="160"/>
      <c r="O1062" s="160"/>
      <c r="P1062" s="160"/>
      <c r="Q1062" s="160"/>
      <c r="R1062" s="160"/>
      <c r="S1062" s="160"/>
      <c r="T1062" s="160"/>
      <c r="U1062" s="160"/>
      <c r="V1062" s="160"/>
      <c r="W1062" s="160"/>
      <c r="X1062" s="160"/>
      <c r="Y1062" s="160"/>
      <c r="Z1062" s="160"/>
    </row>
    <row r="1063" spans="1:26" ht="13.8" x14ac:dyDescent="0.25">
      <c r="A1063" s="160"/>
      <c r="B1063" s="160"/>
      <c r="C1063" s="160"/>
      <c r="D1063" s="160"/>
      <c r="E1063" s="160"/>
      <c r="F1063" s="160"/>
      <c r="G1063" s="160"/>
      <c r="H1063" s="160"/>
      <c r="I1063" s="160"/>
      <c r="J1063" s="160"/>
      <c r="K1063" s="160"/>
      <c r="L1063" s="160"/>
      <c r="M1063" s="160"/>
      <c r="N1063" s="160"/>
      <c r="O1063" s="160"/>
      <c r="P1063" s="160"/>
      <c r="Q1063" s="160"/>
      <c r="R1063" s="160"/>
      <c r="S1063" s="160"/>
      <c r="T1063" s="160"/>
      <c r="U1063" s="160"/>
      <c r="V1063" s="160"/>
      <c r="W1063" s="160"/>
      <c r="X1063" s="160"/>
      <c r="Y1063" s="160"/>
      <c r="Z1063" s="160"/>
    </row>
    <row r="1064" spans="1:26" ht="13.8" x14ac:dyDescent="0.25">
      <c r="A1064" s="160"/>
      <c r="B1064" s="160"/>
      <c r="C1064" s="160"/>
      <c r="D1064" s="160"/>
      <c r="E1064" s="160"/>
      <c r="F1064" s="160"/>
      <c r="G1064" s="160"/>
      <c r="H1064" s="160"/>
      <c r="I1064" s="160"/>
      <c r="J1064" s="160"/>
      <c r="K1064" s="160"/>
      <c r="L1064" s="160"/>
      <c r="M1064" s="160"/>
      <c r="N1064" s="160"/>
      <c r="O1064" s="160"/>
      <c r="P1064" s="160"/>
      <c r="Q1064" s="160"/>
      <c r="R1064" s="160"/>
      <c r="S1064" s="160"/>
      <c r="T1064" s="160"/>
      <c r="U1064" s="160"/>
      <c r="V1064" s="160"/>
      <c r="W1064" s="160"/>
      <c r="X1064" s="160"/>
      <c r="Y1064" s="160"/>
      <c r="Z1064" s="160"/>
    </row>
    <row r="1065" spans="1:26" ht="13.8" x14ac:dyDescent="0.25">
      <c r="A1065" s="160"/>
      <c r="B1065" s="160"/>
      <c r="C1065" s="160"/>
      <c r="D1065" s="160"/>
      <c r="E1065" s="160"/>
      <c r="F1065" s="160"/>
      <c r="G1065" s="160"/>
      <c r="H1065" s="160"/>
      <c r="I1065" s="160"/>
      <c r="J1065" s="160"/>
      <c r="K1065" s="160"/>
      <c r="L1065" s="160"/>
      <c r="M1065" s="160"/>
      <c r="N1065" s="160"/>
      <c r="O1065" s="160"/>
      <c r="P1065" s="160"/>
      <c r="Q1065" s="160"/>
      <c r="R1065" s="160"/>
      <c r="S1065" s="160"/>
      <c r="T1065" s="160"/>
      <c r="U1065" s="160"/>
      <c r="V1065" s="160"/>
      <c r="W1065" s="160"/>
      <c r="X1065" s="160"/>
      <c r="Y1065" s="160"/>
      <c r="Z1065" s="160"/>
    </row>
    <row r="1066" spans="1:26" ht="13.8" x14ac:dyDescent="0.25">
      <c r="A1066" s="160"/>
      <c r="B1066" s="160"/>
      <c r="C1066" s="160"/>
      <c r="D1066" s="160"/>
      <c r="E1066" s="160"/>
      <c r="F1066" s="160"/>
      <c r="G1066" s="160"/>
      <c r="H1066" s="160"/>
      <c r="I1066" s="160"/>
      <c r="J1066" s="160"/>
      <c r="K1066" s="160"/>
      <c r="L1066" s="160"/>
      <c r="M1066" s="160"/>
      <c r="N1066" s="160"/>
      <c r="O1066" s="160"/>
      <c r="P1066" s="160"/>
      <c r="Q1066" s="160"/>
      <c r="R1066" s="160"/>
      <c r="S1066" s="160"/>
      <c r="T1066" s="160"/>
      <c r="U1066" s="160"/>
      <c r="V1066" s="160"/>
      <c r="W1066" s="160"/>
      <c r="X1066" s="160"/>
      <c r="Y1066" s="160"/>
      <c r="Z1066" s="160"/>
    </row>
    <row r="1067" spans="1:26" ht="13.8" x14ac:dyDescent="0.25">
      <c r="A1067" s="160"/>
      <c r="B1067" s="160"/>
      <c r="C1067" s="160"/>
      <c r="D1067" s="160"/>
      <c r="E1067" s="160"/>
      <c r="F1067" s="160"/>
      <c r="G1067" s="160"/>
      <c r="H1067" s="160"/>
      <c r="I1067" s="160"/>
      <c r="J1067" s="160"/>
      <c r="K1067" s="160"/>
      <c r="L1067" s="160"/>
      <c r="M1067" s="160"/>
      <c r="N1067" s="160"/>
      <c r="O1067" s="160"/>
      <c r="P1067" s="160"/>
      <c r="Q1067" s="160"/>
      <c r="R1067" s="160"/>
      <c r="S1067" s="160"/>
      <c r="T1067" s="160"/>
      <c r="U1067" s="160"/>
      <c r="V1067" s="160"/>
      <c r="W1067" s="160"/>
      <c r="X1067" s="160"/>
      <c r="Y1067" s="160"/>
      <c r="Z1067" s="160"/>
    </row>
    <row r="1068" spans="1:26" ht="13.8" x14ac:dyDescent="0.25">
      <c r="A1068" s="160"/>
      <c r="B1068" s="160"/>
      <c r="C1068" s="160"/>
      <c r="D1068" s="160"/>
      <c r="E1068" s="160"/>
      <c r="F1068" s="160"/>
      <c r="G1068" s="160"/>
      <c r="H1068" s="160"/>
      <c r="I1068" s="160"/>
      <c r="J1068" s="160"/>
      <c r="K1068" s="160"/>
      <c r="L1068" s="160"/>
      <c r="M1068" s="160"/>
      <c r="N1068" s="160"/>
      <c r="O1068" s="160"/>
      <c r="P1068" s="160"/>
      <c r="Q1068" s="160"/>
      <c r="R1068" s="160"/>
      <c r="S1068" s="160"/>
      <c r="T1068" s="160"/>
      <c r="U1068" s="160"/>
      <c r="V1068" s="160"/>
      <c r="W1068" s="160"/>
      <c r="X1068" s="160"/>
      <c r="Y1068" s="160"/>
      <c r="Z1068" s="160"/>
    </row>
    <row r="1069" spans="1:26" ht="13.8" x14ac:dyDescent="0.25">
      <c r="A1069" s="160"/>
      <c r="B1069" s="160"/>
      <c r="C1069" s="160"/>
      <c r="D1069" s="160"/>
      <c r="E1069" s="160"/>
      <c r="F1069" s="160"/>
      <c r="G1069" s="160"/>
      <c r="H1069" s="160"/>
      <c r="I1069" s="160"/>
      <c r="J1069" s="160"/>
      <c r="K1069" s="160"/>
      <c r="L1069" s="160"/>
      <c r="M1069" s="160"/>
      <c r="N1069" s="160"/>
      <c r="O1069" s="160"/>
      <c r="P1069" s="160"/>
      <c r="Q1069" s="160"/>
      <c r="R1069" s="160"/>
      <c r="S1069" s="160"/>
      <c r="T1069" s="160"/>
      <c r="U1069" s="160"/>
      <c r="V1069" s="160"/>
      <c r="W1069" s="160"/>
      <c r="X1069" s="160"/>
      <c r="Y1069" s="160"/>
      <c r="Z1069" s="160"/>
    </row>
    <row r="1070" spans="1:26" ht="13.8" x14ac:dyDescent="0.25">
      <c r="A1070" s="160"/>
      <c r="B1070" s="160"/>
      <c r="C1070" s="160"/>
      <c r="D1070" s="160"/>
      <c r="E1070" s="160"/>
      <c r="F1070" s="160"/>
      <c r="G1070" s="160"/>
      <c r="H1070" s="160"/>
      <c r="I1070" s="160"/>
      <c r="J1070" s="160"/>
      <c r="K1070" s="160"/>
      <c r="L1070" s="160"/>
      <c r="M1070" s="160"/>
      <c r="N1070" s="160"/>
      <c r="O1070" s="160"/>
      <c r="P1070" s="160"/>
      <c r="Q1070" s="160"/>
      <c r="R1070" s="160"/>
      <c r="S1070" s="160"/>
      <c r="T1070" s="160"/>
      <c r="U1070" s="160"/>
      <c r="V1070" s="160"/>
      <c r="W1070" s="160"/>
      <c r="X1070" s="160"/>
      <c r="Y1070" s="160"/>
      <c r="Z1070" s="160"/>
    </row>
    <row r="1071" spans="1:26" ht="13.8" x14ac:dyDescent="0.25">
      <c r="A1071" s="160"/>
      <c r="B1071" s="160"/>
      <c r="C1071" s="160"/>
      <c r="D1071" s="160"/>
      <c r="E1071" s="160"/>
      <c r="F1071" s="160"/>
      <c r="G1071" s="160"/>
      <c r="H1071" s="160"/>
      <c r="I1071" s="160"/>
      <c r="J1071" s="160"/>
      <c r="K1071" s="160"/>
      <c r="L1071" s="160"/>
      <c r="M1071" s="160"/>
      <c r="N1071" s="160"/>
      <c r="O1071" s="160"/>
      <c r="P1071" s="160"/>
      <c r="Q1071" s="160"/>
      <c r="R1071" s="160"/>
      <c r="S1071" s="160"/>
      <c r="T1071" s="160"/>
      <c r="U1071" s="160"/>
      <c r="V1071" s="160"/>
      <c r="W1071" s="160"/>
      <c r="X1071" s="160"/>
      <c r="Y1071" s="160"/>
      <c r="Z1071" s="160"/>
    </row>
    <row r="1072" spans="1:26" ht="13.8" x14ac:dyDescent="0.25">
      <c r="A1072" s="160"/>
      <c r="B1072" s="160"/>
      <c r="C1072" s="160"/>
      <c r="D1072" s="160"/>
      <c r="E1072" s="160"/>
      <c r="F1072" s="160"/>
      <c r="G1072" s="160"/>
      <c r="H1072" s="160"/>
      <c r="I1072" s="160"/>
      <c r="J1072" s="160"/>
      <c r="K1072" s="160"/>
      <c r="L1072" s="160"/>
      <c r="M1072" s="160"/>
      <c r="N1072" s="160"/>
      <c r="O1072" s="160"/>
      <c r="P1072" s="160"/>
      <c r="Q1072" s="160"/>
      <c r="R1072" s="160"/>
      <c r="S1072" s="160"/>
      <c r="T1072" s="160"/>
      <c r="U1072" s="160"/>
      <c r="V1072" s="160"/>
      <c r="W1072" s="160"/>
      <c r="X1072" s="160"/>
      <c r="Y1072" s="160"/>
      <c r="Z1072" s="160"/>
    </row>
    <row r="1073" spans="1:26" ht="13.8" x14ac:dyDescent="0.25">
      <c r="A1073" s="160"/>
      <c r="B1073" s="160"/>
      <c r="C1073" s="160"/>
      <c r="D1073" s="160"/>
      <c r="E1073" s="160"/>
      <c r="F1073" s="160"/>
      <c r="G1073" s="160"/>
      <c r="H1073" s="160"/>
      <c r="I1073" s="160"/>
      <c r="J1073" s="160"/>
      <c r="K1073" s="160"/>
      <c r="L1073" s="160"/>
      <c r="M1073" s="160"/>
      <c r="N1073" s="160"/>
      <c r="O1073" s="160"/>
      <c r="P1073" s="160"/>
      <c r="Q1073" s="160"/>
      <c r="R1073" s="160"/>
      <c r="S1073" s="160"/>
      <c r="T1073" s="160"/>
      <c r="U1073" s="160"/>
      <c r="V1073" s="160"/>
      <c r="W1073" s="160"/>
      <c r="X1073" s="160"/>
      <c r="Y1073" s="160"/>
      <c r="Z1073" s="160"/>
    </row>
    <row r="1074" spans="1:26" ht="13.8" x14ac:dyDescent="0.25">
      <c r="A1074" s="160"/>
      <c r="B1074" s="160"/>
      <c r="C1074" s="160"/>
      <c r="D1074" s="160"/>
      <c r="E1074" s="160"/>
      <c r="F1074" s="160"/>
      <c r="G1074" s="160"/>
      <c r="H1074" s="160"/>
      <c r="I1074" s="160"/>
      <c r="J1074" s="160"/>
      <c r="K1074" s="160"/>
      <c r="L1074" s="160"/>
      <c r="M1074" s="160"/>
      <c r="N1074" s="160"/>
      <c r="O1074" s="160"/>
      <c r="P1074" s="160"/>
      <c r="Q1074" s="160"/>
      <c r="R1074" s="160"/>
      <c r="S1074" s="160"/>
      <c r="T1074" s="160"/>
      <c r="U1074" s="160"/>
      <c r="V1074" s="160"/>
      <c r="W1074" s="160"/>
      <c r="X1074" s="160"/>
      <c r="Y1074" s="160"/>
      <c r="Z1074" s="160"/>
    </row>
    <row r="1075" spans="1:26" ht="13.8" x14ac:dyDescent="0.25">
      <c r="A1075" s="160"/>
      <c r="B1075" s="160"/>
      <c r="C1075" s="160"/>
      <c r="D1075" s="160"/>
      <c r="E1075" s="160"/>
      <c r="F1075" s="160"/>
      <c r="G1075" s="160"/>
      <c r="H1075" s="160"/>
      <c r="I1075" s="160"/>
      <c r="J1075" s="160"/>
      <c r="K1075" s="160"/>
      <c r="L1075" s="160"/>
      <c r="M1075" s="160"/>
      <c r="N1075" s="160"/>
      <c r="O1075" s="160"/>
      <c r="P1075" s="160"/>
      <c r="Q1075" s="160"/>
      <c r="R1075" s="160"/>
      <c r="S1075" s="160"/>
      <c r="T1075" s="160"/>
      <c r="U1075" s="160"/>
      <c r="V1075" s="160"/>
      <c r="W1075" s="160"/>
      <c r="X1075" s="160"/>
      <c r="Y1075" s="160"/>
      <c r="Z1075" s="160"/>
    </row>
    <row r="1076" spans="1:26" ht="13.8" x14ac:dyDescent="0.25">
      <c r="A1076" s="160"/>
      <c r="B1076" s="160"/>
      <c r="C1076" s="160"/>
      <c r="D1076" s="160"/>
      <c r="E1076" s="160"/>
      <c r="F1076" s="160"/>
      <c r="G1076" s="160"/>
      <c r="H1076" s="160"/>
      <c r="I1076" s="160"/>
      <c r="J1076" s="160"/>
      <c r="K1076" s="160"/>
      <c r="L1076" s="160"/>
      <c r="M1076" s="160"/>
      <c r="N1076" s="160"/>
      <c r="O1076" s="160"/>
      <c r="P1076" s="160"/>
      <c r="Q1076" s="160"/>
      <c r="R1076" s="160"/>
      <c r="S1076" s="160"/>
      <c r="T1076" s="160"/>
      <c r="U1076" s="160"/>
      <c r="V1076" s="160"/>
      <c r="W1076" s="160"/>
      <c r="X1076" s="160"/>
      <c r="Y1076" s="160"/>
      <c r="Z1076" s="160"/>
    </row>
    <row r="1077" spans="1:26" ht="13.8" x14ac:dyDescent="0.25">
      <c r="A1077" s="160"/>
      <c r="B1077" s="160"/>
      <c r="C1077" s="160"/>
      <c r="D1077" s="160"/>
      <c r="E1077" s="160"/>
      <c r="F1077" s="160"/>
      <c r="G1077" s="160"/>
      <c r="H1077" s="160"/>
      <c r="I1077" s="160"/>
      <c r="J1077" s="160"/>
      <c r="K1077" s="160"/>
      <c r="L1077" s="160"/>
      <c r="M1077" s="160"/>
      <c r="N1077" s="160"/>
      <c r="O1077" s="160"/>
      <c r="P1077" s="160"/>
      <c r="Q1077" s="160"/>
      <c r="R1077" s="160"/>
      <c r="S1077" s="160"/>
      <c r="T1077" s="160"/>
      <c r="U1077" s="160"/>
      <c r="V1077" s="160"/>
      <c r="W1077" s="160"/>
      <c r="X1077" s="160"/>
      <c r="Y1077" s="160"/>
      <c r="Z1077" s="160"/>
    </row>
    <row r="1078" spans="1:26" ht="13.8" x14ac:dyDescent="0.25">
      <c r="A1078" s="160"/>
      <c r="B1078" s="160"/>
      <c r="C1078" s="160"/>
      <c r="D1078" s="160"/>
      <c r="E1078" s="160"/>
      <c r="F1078" s="160"/>
      <c r="G1078" s="160"/>
      <c r="H1078" s="160"/>
      <c r="I1078" s="160"/>
      <c r="J1078" s="160"/>
      <c r="K1078" s="160"/>
      <c r="L1078" s="160"/>
      <c r="M1078" s="160"/>
      <c r="N1078" s="160"/>
      <c r="O1078" s="160"/>
      <c r="P1078" s="160"/>
      <c r="Q1078" s="160"/>
      <c r="R1078" s="160"/>
      <c r="S1078" s="160"/>
      <c r="T1078" s="160"/>
      <c r="U1078" s="160"/>
      <c r="V1078" s="160"/>
      <c r="W1078" s="160"/>
      <c r="X1078" s="160"/>
      <c r="Y1078" s="160"/>
      <c r="Z1078" s="160"/>
    </row>
    <row r="1079" spans="1:26" ht="13.8" x14ac:dyDescent="0.25">
      <c r="A1079" s="160"/>
      <c r="B1079" s="160"/>
      <c r="C1079" s="160"/>
      <c r="D1079" s="160"/>
      <c r="E1079" s="160"/>
      <c r="F1079" s="160"/>
      <c r="G1079" s="160"/>
      <c r="H1079" s="160"/>
      <c r="I1079" s="160"/>
      <c r="J1079" s="160"/>
      <c r="K1079" s="160"/>
      <c r="L1079" s="160"/>
      <c r="M1079" s="160"/>
      <c r="N1079" s="160"/>
      <c r="O1079" s="160"/>
      <c r="P1079" s="160"/>
      <c r="Q1079" s="160"/>
      <c r="R1079" s="160"/>
      <c r="S1079" s="160"/>
      <c r="T1079" s="160"/>
      <c r="U1079" s="160"/>
      <c r="V1079" s="160"/>
      <c r="W1079" s="160"/>
      <c r="X1079" s="160"/>
      <c r="Y1079" s="160"/>
      <c r="Z1079" s="160"/>
    </row>
    <row r="1080" spans="1:26" ht="13.8" x14ac:dyDescent="0.25">
      <c r="A1080" s="160"/>
      <c r="B1080" s="160"/>
      <c r="C1080" s="160"/>
      <c r="D1080" s="160"/>
      <c r="E1080" s="160"/>
      <c r="F1080" s="160"/>
      <c r="G1080" s="160"/>
      <c r="H1080" s="160"/>
      <c r="I1080" s="160"/>
      <c r="J1080" s="160"/>
      <c r="K1080" s="160"/>
      <c r="L1080" s="160"/>
      <c r="M1080" s="160"/>
      <c r="N1080" s="160"/>
      <c r="O1080" s="160"/>
      <c r="P1080" s="160"/>
      <c r="Q1080" s="160"/>
      <c r="R1080" s="160"/>
      <c r="S1080" s="160"/>
      <c r="T1080" s="160"/>
      <c r="U1080" s="160"/>
      <c r="V1080" s="160"/>
      <c r="W1080" s="160"/>
      <c r="X1080" s="160"/>
      <c r="Y1080" s="160"/>
      <c r="Z1080" s="160"/>
    </row>
    <row r="1081" spans="1:26" ht="13.8" x14ac:dyDescent="0.25">
      <c r="A1081" s="160"/>
      <c r="B1081" s="160"/>
      <c r="C1081" s="160"/>
      <c r="D1081" s="160"/>
      <c r="E1081" s="160"/>
      <c r="F1081" s="160"/>
      <c r="G1081" s="160"/>
      <c r="H1081" s="160"/>
      <c r="I1081" s="160"/>
      <c r="J1081" s="160"/>
      <c r="K1081" s="160"/>
      <c r="L1081" s="160"/>
      <c r="M1081" s="160"/>
      <c r="N1081" s="160"/>
      <c r="O1081" s="160"/>
      <c r="P1081" s="160"/>
      <c r="Q1081" s="160"/>
      <c r="R1081" s="160"/>
      <c r="S1081" s="160"/>
      <c r="T1081" s="160"/>
      <c r="U1081" s="160"/>
      <c r="V1081" s="160"/>
      <c r="W1081" s="160"/>
      <c r="X1081" s="160"/>
      <c r="Y1081" s="160"/>
      <c r="Z1081" s="160"/>
    </row>
    <row r="1082" spans="1:26" ht="13.8" x14ac:dyDescent="0.25">
      <c r="A1082" s="160"/>
      <c r="B1082" s="160"/>
      <c r="C1082" s="160"/>
      <c r="D1082" s="160"/>
      <c r="E1082" s="160"/>
      <c r="F1082" s="160"/>
      <c r="G1082" s="160"/>
      <c r="H1082" s="160"/>
      <c r="I1082" s="160"/>
      <c r="J1082" s="160"/>
      <c r="K1082" s="160"/>
      <c r="L1082" s="160"/>
      <c r="M1082" s="160"/>
      <c r="N1082" s="160"/>
      <c r="O1082" s="160"/>
      <c r="P1082" s="160"/>
      <c r="Q1082" s="160"/>
      <c r="R1082" s="160"/>
      <c r="S1082" s="160"/>
      <c r="T1082" s="160"/>
      <c r="U1082" s="160"/>
      <c r="V1082" s="160"/>
      <c r="W1082" s="160"/>
      <c r="X1082" s="160"/>
      <c r="Y1082" s="160"/>
      <c r="Z1082" s="160"/>
    </row>
    <row r="1083" spans="1:26" ht="13.8" x14ac:dyDescent="0.25">
      <c r="A1083" s="160"/>
      <c r="B1083" s="160"/>
      <c r="C1083" s="160"/>
      <c r="D1083" s="160"/>
      <c r="E1083" s="160"/>
      <c r="F1083" s="160"/>
      <c r="G1083" s="160"/>
      <c r="H1083" s="160"/>
      <c r="I1083" s="160"/>
      <c r="J1083" s="160"/>
      <c r="K1083" s="160"/>
      <c r="L1083" s="160"/>
      <c r="M1083" s="160"/>
      <c r="N1083" s="160"/>
      <c r="O1083" s="160"/>
      <c r="P1083" s="160"/>
      <c r="Q1083" s="160"/>
      <c r="R1083" s="160"/>
      <c r="S1083" s="160"/>
      <c r="T1083" s="160"/>
      <c r="U1083" s="160"/>
      <c r="V1083" s="160"/>
      <c r="W1083" s="160"/>
      <c r="X1083" s="160"/>
      <c r="Y1083" s="160"/>
      <c r="Z1083" s="160"/>
    </row>
    <row r="1084" spans="1:26" ht="13.8" x14ac:dyDescent="0.25">
      <c r="A1084" s="160"/>
      <c r="B1084" s="160"/>
      <c r="C1084" s="160"/>
      <c r="D1084" s="160"/>
      <c r="E1084" s="160"/>
      <c r="F1084" s="160"/>
      <c r="G1084" s="160"/>
      <c r="H1084" s="160"/>
      <c r="I1084" s="160"/>
      <c r="J1084" s="160"/>
      <c r="K1084" s="160"/>
      <c r="L1084" s="160"/>
      <c r="M1084" s="160"/>
      <c r="N1084" s="160"/>
      <c r="O1084" s="160"/>
      <c r="P1084" s="160"/>
      <c r="Q1084" s="160"/>
      <c r="R1084" s="160"/>
      <c r="S1084" s="160"/>
      <c r="T1084" s="160"/>
      <c r="U1084" s="160"/>
      <c r="V1084" s="160"/>
      <c r="W1084" s="160"/>
      <c r="X1084" s="160"/>
      <c r="Y1084" s="160"/>
      <c r="Z1084" s="160"/>
    </row>
    <row r="1085" spans="1:26" ht="13.8" x14ac:dyDescent="0.25">
      <c r="A1085" s="160"/>
      <c r="B1085" s="160"/>
      <c r="C1085" s="160"/>
      <c r="D1085" s="160"/>
      <c r="E1085" s="160"/>
      <c r="F1085" s="160"/>
      <c r="G1085" s="160"/>
      <c r="H1085" s="160"/>
      <c r="I1085" s="160"/>
      <c r="J1085" s="160"/>
      <c r="K1085" s="160"/>
      <c r="L1085" s="160"/>
      <c r="M1085" s="160"/>
      <c r="N1085" s="160"/>
      <c r="O1085" s="160"/>
      <c r="P1085" s="160"/>
      <c r="Q1085" s="160"/>
      <c r="R1085" s="160"/>
      <c r="S1085" s="160"/>
      <c r="T1085" s="160"/>
      <c r="U1085" s="160"/>
      <c r="V1085" s="160"/>
      <c r="W1085" s="160"/>
      <c r="X1085" s="160"/>
      <c r="Y1085" s="160"/>
      <c r="Z1085" s="160"/>
    </row>
    <row r="1086" spans="1:26" ht="13.8" x14ac:dyDescent="0.25">
      <c r="A1086" s="160"/>
      <c r="B1086" s="160"/>
      <c r="C1086" s="160"/>
      <c r="D1086" s="160"/>
      <c r="E1086" s="160"/>
      <c r="F1086" s="160"/>
      <c r="G1086" s="160"/>
      <c r="H1086" s="160"/>
      <c r="I1086" s="160"/>
      <c r="J1086" s="160"/>
      <c r="K1086" s="160"/>
      <c r="L1086" s="160"/>
      <c r="M1086" s="160"/>
      <c r="N1086" s="160"/>
      <c r="O1086" s="160"/>
      <c r="P1086" s="160"/>
      <c r="Q1086" s="160"/>
      <c r="R1086" s="160"/>
      <c r="S1086" s="160"/>
      <c r="T1086" s="160"/>
      <c r="U1086" s="160"/>
      <c r="V1086" s="160"/>
      <c r="W1086" s="160"/>
      <c r="X1086" s="160"/>
      <c r="Y1086" s="160"/>
      <c r="Z1086" s="160"/>
    </row>
    <row r="1087" spans="1:26" ht="13.8" x14ac:dyDescent="0.25">
      <c r="A1087" s="160"/>
      <c r="B1087" s="160"/>
      <c r="C1087" s="160"/>
      <c r="D1087" s="160"/>
      <c r="E1087" s="160"/>
      <c r="F1087" s="160"/>
      <c r="G1087" s="160"/>
      <c r="H1087" s="160"/>
      <c r="I1087" s="160"/>
      <c r="J1087" s="160"/>
      <c r="K1087" s="160"/>
      <c r="L1087" s="160"/>
      <c r="M1087" s="160"/>
      <c r="N1087" s="160"/>
      <c r="O1087" s="160"/>
      <c r="P1087" s="160"/>
      <c r="Q1087" s="160"/>
      <c r="R1087" s="160"/>
      <c r="S1087" s="160"/>
      <c r="T1087" s="160"/>
      <c r="U1087" s="160"/>
      <c r="V1087" s="160"/>
      <c r="W1087" s="160"/>
      <c r="X1087" s="160"/>
      <c r="Y1087" s="160"/>
      <c r="Z1087" s="160"/>
    </row>
    <row r="1088" spans="1:26" ht="13.8" x14ac:dyDescent="0.25">
      <c r="A1088" s="160"/>
      <c r="B1088" s="160"/>
      <c r="C1088" s="160"/>
      <c r="D1088" s="160"/>
      <c r="E1088" s="160"/>
      <c r="F1088" s="160"/>
      <c r="G1088" s="160"/>
      <c r="H1088" s="160"/>
      <c r="I1088" s="160"/>
      <c r="J1088" s="160"/>
      <c r="K1088" s="160"/>
      <c r="L1088" s="160"/>
      <c r="M1088" s="160"/>
      <c r="N1088" s="160"/>
      <c r="O1088" s="160"/>
      <c r="P1088" s="160"/>
      <c r="Q1088" s="160"/>
      <c r="R1088" s="160"/>
      <c r="S1088" s="160"/>
      <c r="T1088" s="160"/>
      <c r="U1088" s="160"/>
      <c r="V1088" s="160"/>
      <c r="W1088" s="160"/>
      <c r="X1088" s="160"/>
      <c r="Y1088" s="160"/>
      <c r="Z1088" s="160"/>
    </row>
    <row r="1089" spans="1:26" ht="13.8" x14ac:dyDescent="0.25">
      <c r="A1089" s="160"/>
      <c r="B1089" s="160"/>
      <c r="C1089" s="160"/>
      <c r="D1089" s="160"/>
      <c r="E1089" s="160"/>
      <c r="F1089" s="160"/>
      <c r="G1089" s="160"/>
      <c r="H1089" s="160"/>
      <c r="I1089" s="160"/>
      <c r="J1089" s="160"/>
      <c r="K1089" s="160"/>
      <c r="L1089" s="160"/>
      <c r="M1089" s="160"/>
      <c r="N1089" s="160"/>
      <c r="O1089" s="160"/>
      <c r="P1089" s="160"/>
      <c r="Q1089" s="160"/>
      <c r="R1089" s="160"/>
      <c r="S1089" s="160"/>
      <c r="T1089" s="160"/>
      <c r="U1089" s="160"/>
      <c r="V1089" s="160"/>
      <c r="W1089" s="160"/>
      <c r="X1089" s="160"/>
      <c r="Y1089" s="160"/>
      <c r="Z1089" s="160"/>
    </row>
    <row r="1090" spans="1:26" ht="13.8" x14ac:dyDescent="0.25">
      <c r="A1090" s="160"/>
      <c r="B1090" s="160"/>
      <c r="C1090" s="160"/>
      <c r="D1090" s="160"/>
      <c r="E1090" s="160"/>
      <c r="F1090" s="160"/>
      <c r="G1090" s="160"/>
      <c r="H1090" s="160"/>
      <c r="I1090" s="160"/>
      <c r="J1090" s="160"/>
      <c r="K1090" s="160"/>
      <c r="L1090" s="160"/>
      <c r="M1090" s="160"/>
      <c r="N1090" s="160"/>
      <c r="O1090" s="160"/>
      <c r="P1090" s="160"/>
      <c r="Q1090" s="160"/>
      <c r="R1090" s="160"/>
      <c r="S1090" s="160"/>
      <c r="T1090" s="160"/>
      <c r="U1090" s="160"/>
      <c r="V1090" s="160"/>
      <c r="W1090" s="160"/>
      <c r="X1090" s="160"/>
      <c r="Y1090" s="160"/>
      <c r="Z1090" s="160"/>
    </row>
    <row r="1091" spans="1:26" ht="13.8" x14ac:dyDescent="0.25">
      <c r="A1091" s="160"/>
      <c r="B1091" s="160"/>
      <c r="C1091" s="160"/>
      <c r="D1091" s="160"/>
      <c r="E1091" s="160"/>
      <c r="F1091" s="160"/>
      <c r="G1091" s="160"/>
      <c r="H1091" s="160"/>
      <c r="I1091" s="160"/>
      <c r="J1091" s="160"/>
      <c r="K1091" s="160"/>
      <c r="L1091" s="160"/>
      <c r="M1091" s="160"/>
      <c r="N1091" s="160"/>
      <c r="O1091" s="160"/>
      <c r="P1091" s="160"/>
      <c r="Q1091" s="160"/>
      <c r="R1091" s="160"/>
      <c r="S1091" s="160"/>
      <c r="T1091" s="160"/>
      <c r="U1091" s="160"/>
      <c r="V1091" s="160"/>
      <c r="W1091" s="160"/>
      <c r="X1091" s="160"/>
      <c r="Y1091" s="160"/>
      <c r="Z1091" s="160"/>
    </row>
    <row r="1092" spans="1:26" ht="13.8" x14ac:dyDescent="0.25">
      <c r="A1092" s="160"/>
      <c r="B1092" s="160"/>
      <c r="C1092" s="160"/>
      <c r="D1092" s="160"/>
      <c r="E1092" s="160"/>
      <c r="F1092" s="160"/>
      <c r="G1092" s="160"/>
      <c r="H1092" s="160"/>
      <c r="I1092" s="160"/>
      <c r="J1092" s="160"/>
      <c r="K1092" s="160"/>
      <c r="L1092" s="160"/>
      <c r="M1092" s="160"/>
      <c r="N1092" s="160"/>
      <c r="O1092" s="160"/>
      <c r="P1092" s="160"/>
      <c r="Q1092" s="160"/>
      <c r="R1092" s="160"/>
      <c r="S1092" s="160"/>
      <c r="T1092" s="160"/>
      <c r="U1092" s="160"/>
      <c r="V1092" s="160"/>
      <c r="W1092" s="160"/>
      <c r="X1092" s="160"/>
      <c r="Y1092" s="160"/>
      <c r="Z1092" s="160"/>
    </row>
    <row r="1093" spans="1:26" ht="13.8" x14ac:dyDescent="0.25">
      <c r="A1093" s="160"/>
      <c r="B1093" s="160"/>
      <c r="C1093" s="160"/>
      <c r="D1093" s="160"/>
      <c r="E1093" s="160"/>
      <c r="F1093" s="160"/>
      <c r="G1093" s="160"/>
      <c r="H1093" s="160"/>
      <c r="I1093" s="160"/>
      <c r="J1093" s="160"/>
      <c r="K1093" s="160"/>
      <c r="L1093" s="160"/>
      <c r="M1093" s="160"/>
      <c r="N1093" s="160"/>
      <c r="O1093" s="160"/>
      <c r="P1093" s="160"/>
      <c r="Q1093" s="160"/>
      <c r="R1093" s="160"/>
      <c r="S1093" s="160"/>
      <c r="T1093" s="160"/>
      <c r="U1093" s="160"/>
      <c r="V1093" s="160"/>
      <c r="W1093" s="160"/>
      <c r="X1093" s="160"/>
      <c r="Y1093" s="160"/>
      <c r="Z1093" s="160"/>
    </row>
    <row r="1094" spans="1:26" ht="13.8" x14ac:dyDescent="0.25">
      <c r="A1094" s="160"/>
      <c r="B1094" s="160"/>
      <c r="C1094" s="160"/>
      <c r="D1094" s="160"/>
      <c r="E1094" s="160"/>
      <c r="F1094" s="160"/>
      <c r="G1094" s="160"/>
      <c r="H1094" s="160"/>
      <c r="I1094" s="160"/>
      <c r="J1094" s="160"/>
      <c r="K1094" s="160"/>
      <c r="L1094" s="160"/>
      <c r="M1094" s="160"/>
      <c r="N1094" s="160"/>
      <c r="O1094" s="160"/>
      <c r="P1094" s="160"/>
      <c r="Q1094" s="160"/>
      <c r="R1094" s="160"/>
      <c r="S1094" s="160"/>
      <c r="T1094" s="160"/>
      <c r="U1094" s="160"/>
      <c r="V1094" s="160"/>
      <c r="W1094" s="160"/>
      <c r="X1094" s="160"/>
      <c r="Y1094" s="160"/>
      <c r="Z1094" s="160"/>
    </row>
    <row r="1095" spans="1:26" ht="13.8" x14ac:dyDescent="0.25">
      <c r="A1095" s="160"/>
      <c r="B1095" s="160"/>
      <c r="C1095" s="160"/>
      <c r="D1095" s="160"/>
      <c r="E1095" s="160"/>
      <c r="F1095" s="160"/>
      <c r="G1095" s="160"/>
      <c r="H1095" s="160"/>
      <c r="I1095" s="160"/>
      <c r="J1095" s="160"/>
      <c r="K1095" s="160"/>
      <c r="L1095" s="160"/>
      <c r="M1095" s="160"/>
      <c r="N1095" s="160"/>
      <c r="O1095" s="160"/>
      <c r="P1095" s="160"/>
      <c r="Q1095" s="160"/>
      <c r="R1095" s="160"/>
      <c r="S1095" s="160"/>
      <c r="T1095" s="160"/>
      <c r="U1095" s="160"/>
      <c r="V1095" s="160"/>
      <c r="W1095" s="160"/>
      <c r="X1095" s="160"/>
      <c r="Y1095" s="160"/>
      <c r="Z1095" s="160"/>
    </row>
    <row r="1096" spans="1:26" ht="13.8" x14ac:dyDescent="0.25">
      <c r="A1096" s="160"/>
      <c r="B1096" s="160"/>
      <c r="C1096" s="160"/>
      <c r="D1096" s="160"/>
      <c r="E1096" s="160"/>
      <c r="F1096" s="160"/>
      <c r="G1096" s="160"/>
      <c r="H1096" s="160"/>
      <c r="I1096" s="160"/>
      <c r="J1096" s="160"/>
      <c r="K1096" s="160"/>
      <c r="L1096" s="160"/>
      <c r="M1096" s="160"/>
      <c r="N1096" s="160"/>
      <c r="O1096" s="160"/>
      <c r="P1096" s="160"/>
      <c r="Q1096" s="160"/>
      <c r="R1096" s="160"/>
      <c r="S1096" s="160"/>
      <c r="T1096" s="160"/>
      <c r="U1096" s="160"/>
      <c r="V1096" s="160"/>
      <c r="W1096" s="160"/>
      <c r="X1096" s="160"/>
      <c r="Y1096" s="160"/>
      <c r="Z1096" s="160"/>
    </row>
    <row r="1097" spans="1:26" ht="13.8" x14ac:dyDescent="0.25">
      <c r="A1097" s="160"/>
      <c r="B1097" s="160"/>
      <c r="C1097" s="160"/>
      <c r="D1097" s="160"/>
      <c r="E1097" s="160"/>
      <c r="F1097" s="160"/>
      <c r="G1097" s="160"/>
      <c r="H1097" s="160"/>
      <c r="I1097" s="160"/>
      <c r="J1097" s="160"/>
      <c r="K1097" s="160"/>
      <c r="L1097" s="160"/>
      <c r="M1097" s="160"/>
      <c r="N1097" s="160"/>
      <c r="O1097" s="160"/>
      <c r="P1097" s="160"/>
      <c r="Q1097" s="160"/>
      <c r="R1097" s="160"/>
      <c r="S1097" s="160"/>
      <c r="T1097" s="160"/>
      <c r="U1097" s="160"/>
      <c r="V1097" s="160"/>
      <c r="W1097" s="160"/>
      <c r="X1097" s="160"/>
      <c r="Y1097" s="160"/>
      <c r="Z1097" s="160"/>
    </row>
    <row r="1098" spans="1:26" ht="13.8" x14ac:dyDescent="0.25">
      <c r="A1098" s="160"/>
      <c r="B1098" s="160"/>
      <c r="C1098" s="160"/>
      <c r="D1098" s="160"/>
      <c r="E1098" s="160"/>
      <c r="F1098" s="160"/>
      <c r="G1098" s="160"/>
      <c r="H1098" s="160"/>
      <c r="I1098" s="160"/>
      <c r="J1098" s="160"/>
      <c r="K1098" s="160"/>
      <c r="L1098" s="160"/>
      <c r="M1098" s="160"/>
      <c r="N1098" s="160"/>
      <c r="O1098" s="160"/>
      <c r="P1098" s="160"/>
      <c r="Q1098" s="160"/>
      <c r="R1098" s="160"/>
      <c r="S1098" s="160"/>
      <c r="T1098" s="160"/>
      <c r="U1098" s="160"/>
      <c r="V1098" s="160"/>
      <c r="W1098" s="160"/>
      <c r="X1098" s="160"/>
      <c r="Y1098" s="160"/>
      <c r="Z1098" s="160"/>
    </row>
    <row r="1099" spans="1:26" ht="13.8" x14ac:dyDescent="0.25">
      <c r="A1099" s="160"/>
      <c r="B1099" s="160"/>
      <c r="C1099" s="160"/>
      <c r="D1099" s="160"/>
      <c r="E1099" s="160"/>
      <c r="F1099" s="160"/>
      <c r="G1099" s="160"/>
      <c r="H1099" s="160"/>
      <c r="I1099" s="160"/>
      <c r="J1099" s="160"/>
      <c r="K1099" s="160"/>
      <c r="L1099" s="160"/>
      <c r="M1099" s="160"/>
      <c r="N1099" s="160"/>
      <c r="O1099" s="160"/>
      <c r="P1099" s="160"/>
      <c r="Q1099" s="160"/>
      <c r="R1099" s="160"/>
      <c r="S1099" s="160"/>
      <c r="T1099" s="160"/>
      <c r="U1099" s="160"/>
      <c r="V1099" s="160"/>
      <c r="W1099" s="160"/>
      <c r="X1099" s="160"/>
      <c r="Y1099" s="160"/>
      <c r="Z1099" s="160"/>
    </row>
    <row r="1100" spans="1:26" ht="13.8" x14ac:dyDescent="0.25">
      <c r="A1100" s="160"/>
      <c r="B1100" s="160"/>
      <c r="C1100" s="160"/>
      <c r="D1100" s="160"/>
      <c r="E1100" s="160"/>
      <c r="F1100" s="160"/>
      <c r="G1100" s="160"/>
      <c r="H1100" s="160"/>
      <c r="I1100" s="160"/>
      <c r="J1100" s="160"/>
      <c r="K1100" s="160"/>
      <c r="L1100" s="160"/>
      <c r="M1100" s="160"/>
      <c r="N1100" s="160"/>
      <c r="O1100" s="160"/>
      <c r="P1100" s="160"/>
      <c r="Q1100" s="160"/>
      <c r="R1100" s="160"/>
      <c r="S1100" s="160"/>
      <c r="T1100" s="160"/>
      <c r="U1100" s="160"/>
      <c r="V1100" s="160"/>
      <c r="W1100" s="160"/>
      <c r="X1100" s="160"/>
      <c r="Y1100" s="160"/>
      <c r="Z1100" s="160"/>
    </row>
    <row r="1101" spans="1:26" ht="13.8" x14ac:dyDescent="0.25">
      <c r="A1101" s="160"/>
      <c r="B1101" s="160"/>
      <c r="C1101" s="160"/>
      <c r="D1101" s="160"/>
      <c r="E1101" s="160"/>
      <c r="F1101" s="160"/>
      <c r="G1101" s="160"/>
      <c r="H1101" s="160"/>
      <c r="I1101" s="160"/>
      <c r="J1101" s="160"/>
      <c r="K1101" s="160"/>
      <c r="L1101" s="160"/>
      <c r="M1101" s="160"/>
      <c r="N1101" s="160"/>
      <c r="O1101" s="160"/>
      <c r="P1101" s="160"/>
      <c r="Q1101" s="160"/>
      <c r="R1101" s="160"/>
      <c r="S1101" s="160"/>
      <c r="T1101" s="160"/>
      <c r="U1101" s="160"/>
      <c r="V1101" s="160"/>
      <c r="W1101" s="160"/>
      <c r="X1101" s="160"/>
      <c r="Y1101" s="160"/>
      <c r="Z1101" s="160"/>
    </row>
    <row r="1102" spans="1:26" ht="13.8" x14ac:dyDescent="0.25">
      <c r="A1102" s="160"/>
      <c r="B1102" s="160"/>
      <c r="C1102" s="160"/>
      <c r="D1102" s="160"/>
      <c r="E1102" s="160"/>
      <c r="F1102" s="160"/>
      <c r="G1102" s="160"/>
      <c r="H1102" s="160"/>
      <c r="I1102" s="160"/>
      <c r="J1102" s="160"/>
      <c r="K1102" s="160"/>
      <c r="L1102" s="160"/>
      <c r="M1102" s="160"/>
      <c r="N1102" s="160"/>
      <c r="O1102" s="160"/>
      <c r="P1102" s="160"/>
      <c r="Q1102" s="160"/>
      <c r="R1102" s="160"/>
      <c r="S1102" s="160"/>
      <c r="T1102" s="160"/>
      <c r="U1102" s="160"/>
      <c r="V1102" s="160"/>
      <c r="W1102" s="160"/>
      <c r="X1102" s="160"/>
      <c r="Y1102" s="160"/>
      <c r="Z1102" s="160"/>
    </row>
    <row r="1103" spans="1:26" ht="13.8" x14ac:dyDescent="0.25">
      <c r="A1103" s="160"/>
      <c r="B1103" s="160"/>
      <c r="C1103" s="160"/>
      <c r="D1103" s="160"/>
      <c r="E1103" s="160"/>
      <c r="F1103" s="160"/>
      <c r="G1103" s="160"/>
      <c r="H1103" s="160"/>
      <c r="I1103" s="160"/>
      <c r="J1103" s="160"/>
      <c r="K1103" s="160"/>
      <c r="L1103" s="160"/>
      <c r="M1103" s="160"/>
      <c r="N1103" s="160"/>
      <c r="O1103" s="160"/>
      <c r="P1103" s="160"/>
      <c r="Q1103" s="160"/>
      <c r="R1103" s="160"/>
      <c r="S1103" s="160"/>
      <c r="T1103" s="160"/>
      <c r="U1103" s="160"/>
      <c r="V1103" s="160"/>
      <c r="W1103" s="160"/>
      <c r="X1103" s="160"/>
      <c r="Y1103" s="160"/>
      <c r="Z1103" s="160"/>
    </row>
    <row r="1104" spans="1:26" ht="13.8" x14ac:dyDescent="0.25">
      <c r="A1104" s="160"/>
      <c r="B1104" s="160"/>
      <c r="C1104" s="160"/>
      <c r="D1104" s="160"/>
      <c r="E1104" s="160"/>
      <c r="F1104" s="160"/>
      <c r="G1104" s="160"/>
      <c r="H1104" s="160"/>
      <c r="I1104" s="160"/>
      <c r="J1104" s="160"/>
      <c r="K1104" s="160"/>
      <c r="L1104" s="160"/>
      <c r="M1104" s="160"/>
      <c r="N1104" s="160"/>
      <c r="O1104" s="160"/>
      <c r="P1104" s="160"/>
      <c r="Q1104" s="160"/>
      <c r="R1104" s="160"/>
      <c r="S1104" s="160"/>
      <c r="T1104" s="160"/>
      <c r="U1104" s="160"/>
      <c r="V1104" s="160"/>
      <c r="W1104" s="160"/>
      <c r="X1104" s="160"/>
      <c r="Y1104" s="160"/>
      <c r="Z1104" s="160"/>
    </row>
    <row r="1105" spans="1:26" ht="13.8" x14ac:dyDescent="0.25">
      <c r="A1105" s="160"/>
      <c r="B1105" s="160"/>
      <c r="C1105" s="160"/>
      <c r="D1105" s="160"/>
      <c r="E1105" s="160"/>
      <c r="F1105" s="160"/>
      <c r="G1105" s="160"/>
      <c r="H1105" s="160"/>
      <c r="I1105" s="160"/>
      <c r="J1105" s="160"/>
      <c r="K1105" s="160"/>
      <c r="L1105" s="160"/>
      <c r="M1105" s="160"/>
      <c r="N1105" s="160"/>
      <c r="O1105" s="160"/>
      <c r="P1105" s="160"/>
      <c r="Q1105" s="160"/>
      <c r="R1105" s="160"/>
      <c r="S1105" s="160"/>
      <c r="T1105" s="160"/>
      <c r="U1105" s="160"/>
      <c r="V1105" s="160"/>
      <c r="W1105" s="160"/>
      <c r="X1105" s="160"/>
      <c r="Y1105" s="160"/>
      <c r="Z1105" s="160"/>
    </row>
    <row r="1106" spans="1:26" ht="13.8" x14ac:dyDescent="0.25">
      <c r="A1106" s="160"/>
      <c r="B1106" s="160"/>
      <c r="C1106" s="160"/>
      <c r="D1106" s="160"/>
      <c r="E1106" s="160"/>
      <c r="F1106" s="160"/>
      <c r="G1106" s="160"/>
      <c r="H1106" s="160"/>
      <c r="I1106" s="160"/>
      <c r="J1106" s="160"/>
      <c r="K1106" s="160"/>
      <c r="L1106" s="160"/>
      <c r="M1106" s="160"/>
      <c r="N1106" s="160"/>
      <c r="O1106" s="160"/>
      <c r="P1106" s="160"/>
      <c r="Q1106" s="160"/>
      <c r="R1106" s="160"/>
      <c r="S1106" s="160"/>
      <c r="T1106" s="160"/>
      <c r="U1106" s="160"/>
      <c r="V1106" s="160"/>
      <c r="W1106" s="160"/>
      <c r="X1106" s="160"/>
      <c r="Y1106" s="160"/>
      <c r="Z1106" s="160"/>
    </row>
    <row r="1048576" s="164" customFormat="1" ht="15.75" customHeight="1" x14ac:dyDescent="0.25"/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48576"/>
  <sheetViews>
    <sheetView topLeftCell="D1" zoomScaleNormal="100" workbookViewId="0">
      <selection activeCell="P2" sqref="A1:XFD1048576"/>
    </sheetView>
  </sheetViews>
  <sheetFormatPr defaultColWidth="12.6640625" defaultRowHeight="13.2" x14ac:dyDescent="0.25"/>
  <cols>
    <col min="2" max="2" width="14" bestFit="1" customWidth="1"/>
    <col min="3" max="3" width="16" bestFit="1" customWidth="1"/>
    <col min="4" max="4" width="25.5546875" customWidth="1"/>
    <col min="11" max="11" width="9.88671875" bestFit="1" customWidth="1"/>
    <col min="12" max="12" width="15.88671875" bestFit="1" customWidth="1"/>
    <col min="13" max="13" width="16" bestFit="1" customWidth="1"/>
  </cols>
  <sheetData>
    <row r="1" spans="1:26" ht="13.8" x14ac:dyDescent="0.25">
      <c r="A1" s="16" t="s">
        <v>10</v>
      </c>
      <c r="B1" s="16" t="s">
        <v>13</v>
      </c>
      <c r="C1" s="16" t="s">
        <v>19</v>
      </c>
      <c r="D1" s="11"/>
      <c r="E1" s="11"/>
      <c r="F1" s="11"/>
      <c r="G1" s="11"/>
      <c r="H1" s="11"/>
      <c r="I1" s="11"/>
      <c r="J1" s="11"/>
      <c r="K1" s="70" t="s">
        <v>10</v>
      </c>
      <c r="L1" s="71" t="s">
        <v>17</v>
      </c>
      <c r="M1" s="72" t="s">
        <v>19</v>
      </c>
      <c r="N1" s="11"/>
      <c r="O1" s="11"/>
      <c r="P1" s="11"/>
      <c r="Q1" s="11"/>
      <c r="R1" s="11"/>
      <c r="S1" s="11"/>
      <c r="T1" s="11"/>
      <c r="U1" s="17" t="s">
        <v>20</v>
      </c>
      <c r="V1" s="18">
        <v>0.06</v>
      </c>
      <c r="W1" s="11"/>
      <c r="X1" s="11"/>
      <c r="Y1" s="11"/>
      <c r="Z1" s="11"/>
    </row>
    <row r="2" spans="1:26" ht="13.8" x14ac:dyDescent="0.25">
      <c r="A2" s="12">
        <v>43009</v>
      </c>
      <c r="B2" s="13">
        <v>430.98</v>
      </c>
      <c r="C2" s="17"/>
      <c r="D2" s="11"/>
      <c r="E2" s="11"/>
      <c r="F2" s="11"/>
      <c r="G2" s="11"/>
      <c r="H2" s="11"/>
      <c r="I2" s="11"/>
      <c r="J2" s="11"/>
      <c r="K2" s="12">
        <v>43009</v>
      </c>
      <c r="L2" s="13">
        <v>10335.299999999999</v>
      </c>
      <c r="M2" s="18"/>
      <c r="N2" s="11"/>
      <c r="O2" s="11"/>
      <c r="P2" s="73" t="s">
        <v>34</v>
      </c>
      <c r="Q2" s="73">
        <f>_xlfn.COVARIANCE.S(C3:C106,M3:M106)</f>
        <v>2.8634044694896645E-3</v>
      </c>
      <c r="R2" s="11"/>
      <c r="S2" s="11"/>
      <c r="T2" s="11"/>
      <c r="U2" s="17" t="s">
        <v>22</v>
      </c>
      <c r="V2" s="18">
        <v>0.15</v>
      </c>
      <c r="W2" s="11"/>
      <c r="X2" s="11"/>
      <c r="Y2" s="11"/>
      <c r="Z2" s="11"/>
    </row>
    <row r="3" spans="1:26" ht="13.8" x14ac:dyDescent="0.25">
      <c r="A3" s="12">
        <v>43040</v>
      </c>
      <c r="B3" s="13">
        <v>401.63</v>
      </c>
      <c r="C3" s="18">
        <f t="shared" ref="C3:C34" si="0">B3/B2-1</f>
        <v>-6.8100607916840694E-2</v>
      </c>
      <c r="D3" s="21" t="s">
        <v>23</v>
      </c>
      <c r="E3" s="22">
        <f>AVERAGE(C3:C106)</f>
        <v>6.2215480759289753E-3</v>
      </c>
      <c r="F3" s="11"/>
      <c r="G3" s="11"/>
      <c r="H3" s="11"/>
      <c r="I3" s="11"/>
      <c r="J3" s="11"/>
      <c r="K3" s="12">
        <v>43040</v>
      </c>
      <c r="L3" s="13">
        <v>10226.549999999999</v>
      </c>
      <c r="M3" s="18">
        <f t="shared" ref="M3:M34" si="1">L3/L2-1</f>
        <v>-1.0522190937853781E-2</v>
      </c>
      <c r="N3" s="11"/>
      <c r="O3" s="11"/>
      <c r="P3" s="73" t="s">
        <v>24</v>
      </c>
      <c r="Q3" s="73">
        <f>_xlfn.VAR.S(M3:M106)</f>
        <v>2.3768482276086546E-3</v>
      </c>
      <c r="R3" s="11"/>
      <c r="S3" s="11"/>
      <c r="T3" s="11"/>
      <c r="U3" s="11"/>
      <c r="V3" s="11"/>
      <c r="W3" s="11"/>
      <c r="X3" s="11"/>
      <c r="Y3" s="11"/>
      <c r="Z3" s="11"/>
    </row>
    <row r="4" spans="1:26" ht="13.8" x14ac:dyDescent="0.25">
      <c r="A4" s="12">
        <v>43070</v>
      </c>
      <c r="B4" s="13">
        <v>376.85</v>
      </c>
      <c r="C4" s="18">
        <f t="shared" si="0"/>
        <v>-6.1698578293454154E-2</v>
      </c>
      <c r="D4" s="21" t="s">
        <v>25</v>
      </c>
      <c r="E4" s="21">
        <f>E3*12</f>
        <v>7.4658576911147703E-2</v>
      </c>
      <c r="F4" s="11"/>
      <c r="G4" s="11"/>
      <c r="H4" s="11"/>
      <c r="I4" s="11"/>
      <c r="J4" s="11"/>
      <c r="K4" s="12">
        <v>43070</v>
      </c>
      <c r="L4" s="13">
        <v>10530.7</v>
      </c>
      <c r="M4" s="18">
        <f t="shared" si="1"/>
        <v>2.9741212823484187E-2</v>
      </c>
      <c r="N4" s="11"/>
      <c r="O4" s="11"/>
      <c r="P4" s="73" t="s">
        <v>26</v>
      </c>
      <c r="Q4" s="73">
        <f>Q2/Q3</f>
        <v>1.2047064832450551</v>
      </c>
      <c r="R4" s="11"/>
      <c r="S4" s="11"/>
      <c r="T4" s="11"/>
      <c r="U4" s="11"/>
      <c r="V4" s="11"/>
      <c r="W4" s="11"/>
      <c r="X4" s="11"/>
      <c r="Y4" s="11"/>
      <c r="Z4" s="11"/>
    </row>
    <row r="5" spans="1:26" ht="13.8" x14ac:dyDescent="0.25">
      <c r="A5" s="12">
        <v>43101</v>
      </c>
      <c r="B5" s="13">
        <v>378.33</v>
      </c>
      <c r="C5" s="18">
        <f t="shared" si="0"/>
        <v>3.9272920260049471E-3</v>
      </c>
      <c r="D5" s="21" t="s">
        <v>27</v>
      </c>
      <c r="E5" s="21">
        <f>_xlfn.STDEV.S(C3:C106)</f>
        <v>0.1280376095666397</v>
      </c>
      <c r="F5" s="11"/>
      <c r="G5" s="11"/>
      <c r="H5" s="11"/>
      <c r="I5" s="11"/>
      <c r="J5" s="11"/>
      <c r="K5" s="12">
        <v>43101</v>
      </c>
      <c r="L5" s="13">
        <v>11027.7</v>
      </c>
      <c r="M5" s="18">
        <f t="shared" si="1"/>
        <v>4.7195343139582402E-2</v>
      </c>
      <c r="N5" s="11"/>
      <c r="O5" s="11"/>
      <c r="P5" s="73" t="s">
        <v>28</v>
      </c>
      <c r="Q5" s="73">
        <f>SLOPE(C3:C106,M3:M106)</f>
        <v>1.2047064832450547</v>
      </c>
      <c r="R5" s="11"/>
      <c r="S5" s="11"/>
      <c r="T5" s="11"/>
      <c r="U5" s="11"/>
      <c r="V5" s="11"/>
      <c r="W5" s="11"/>
      <c r="X5" s="11"/>
      <c r="Y5" s="11"/>
      <c r="Z5" s="11"/>
    </row>
    <row r="6" spans="1:26" ht="13.8" x14ac:dyDescent="0.25">
      <c r="A6" s="12">
        <v>43132</v>
      </c>
      <c r="B6" s="13">
        <v>360.58</v>
      </c>
      <c r="C6" s="18">
        <f t="shared" si="0"/>
        <v>-4.6916712922580817E-2</v>
      </c>
      <c r="D6" s="21" t="s">
        <v>29</v>
      </c>
      <c r="E6" s="21">
        <f>E5*SQRT(12)</f>
        <v>0.44353529009817377</v>
      </c>
      <c r="F6" s="11"/>
      <c r="G6" s="11"/>
      <c r="H6" s="11"/>
      <c r="I6" s="11"/>
      <c r="J6" s="11"/>
      <c r="K6" s="12">
        <v>43132</v>
      </c>
      <c r="L6" s="13">
        <v>10492.85</v>
      </c>
      <c r="M6" s="18">
        <f t="shared" si="1"/>
        <v>-4.8500593958849092E-2</v>
      </c>
      <c r="N6" s="11"/>
      <c r="O6" s="11"/>
      <c r="P6" s="73"/>
      <c r="Q6" s="73"/>
      <c r="R6" s="11"/>
      <c r="S6" s="11"/>
      <c r="T6" s="11"/>
      <c r="U6" s="11"/>
      <c r="V6" s="11"/>
      <c r="W6" s="11"/>
      <c r="X6" s="11"/>
      <c r="Y6" s="11"/>
      <c r="Z6" s="11"/>
    </row>
    <row r="7" spans="1:26" ht="13.8" x14ac:dyDescent="0.25">
      <c r="A7" s="12">
        <v>43160</v>
      </c>
      <c r="B7" s="13">
        <v>367.05</v>
      </c>
      <c r="C7" s="18">
        <f t="shared" si="0"/>
        <v>1.7943313550391027E-2</v>
      </c>
      <c r="D7" s="11"/>
      <c r="E7" s="11"/>
      <c r="F7" s="11"/>
      <c r="G7" s="11"/>
      <c r="H7" s="11"/>
      <c r="I7" s="11"/>
      <c r="J7" s="11"/>
      <c r="K7" s="12">
        <v>43160</v>
      </c>
      <c r="L7" s="13">
        <v>10113.700000000001</v>
      </c>
      <c r="M7" s="18">
        <f t="shared" si="1"/>
        <v>-3.6134129430993478E-2</v>
      </c>
      <c r="N7" s="11"/>
      <c r="O7" s="11"/>
      <c r="P7" s="73" t="s">
        <v>30</v>
      </c>
      <c r="Q7" s="73">
        <f>CORREL(C3:C106,M3:M106)</f>
        <v>0.45871655672817613</v>
      </c>
      <c r="R7" s="11"/>
      <c r="S7" s="11"/>
      <c r="T7" s="11"/>
      <c r="U7" s="11"/>
      <c r="V7" s="11"/>
      <c r="W7" s="11"/>
      <c r="X7" s="11"/>
      <c r="Y7" s="11"/>
      <c r="Z7" s="11"/>
    </row>
    <row r="8" spans="1:26" ht="13.8" x14ac:dyDescent="0.25">
      <c r="A8" s="12">
        <v>43191</v>
      </c>
      <c r="B8" s="13">
        <v>354.58</v>
      </c>
      <c r="C8" s="18">
        <f t="shared" si="0"/>
        <v>-3.3973573082686337E-2</v>
      </c>
      <c r="D8" s="11"/>
      <c r="E8" s="11"/>
      <c r="F8" s="11"/>
      <c r="G8" s="11"/>
      <c r="H8" s="11"/>
      <c r="I8" s="11"/>
      <c r="J8" s="11"/>
      <c r="K8" s="12">
        <v>43191</v>
      </c>
      <c r="L8" s="13">
        <v>10739.35</v>
      </c>
      <c r="M8" s="18">
        <f t="shared" si="1"/>
        <v>6.1861633230172908E-2</v>
      </c>
      <c r="N8" s="11"/>
      <c r="O8" s="11"/>
      <c r="P8" s="73" t="s">
        <v>31</v>
      </c>
      <c r="Q8" s="74">
        <f>V1+Q4*(V2-V1)</f>
        <v>0.16842358349205494</v>
      </c>
      <c r="R8" s="11"/>
      <c r="S8" s="11"/>
      <c r="T8" s="11"/>
      <c r="U8" s="11"/>
      <c r="V8" s="11"/>
      <c r="W8" s="11"/>
      <c r="X8" s="11"/>
      <c r="Y8" s="11"/>
      <c r="Z8" s="11"/>
    </row>
    <row r="9" spans="1:26" ht="13.8" x14ac:dyDescent="0.25">
      <c r="A9" s="15">
        <v>43221</v>
      </c>
      <c r="B9" s="13">
        <v>362.28</v>
      </c>
      <c r="C9" s="18">
        <f t="shared" si="0"/>
        <v>2.1715832816289637E-2</v>
      </c>
      <c r="D9" s="11"/>
      <c r="E9" s="11"/>
      <c r="F9" s="11"/>
      <c r="G9" s="11"/>
      <c r="H9" s="11"/>
      <c r="I9" s="11"/>
      <c r="J9" s="11"/>
      <c r="K9" s="15">
        <v>43221</v>
      </c>
      <c r="L9" s="13">
        <v>10736.15</v>
      </c>
      <c r="M9" s="18">
        <f t="shared" si="1"/>
        <v>-2.9796961641070929E-4</v>
      </c>
      <c r="N9" s="11"/>
      <c r="O9" s="11"/>
      <c r="P9" s="73" t="s">
        <v>32</v>
      </c>
      <c r="Q9" s="73">
        <f>(E4-V1)/E6</f>
        <v>3.3049403820613957E-2</v>
      </c>
      <c r="R9" s="11"/>
      <c r="S9" s="11"/>
      <c r="T9" s="11"/>
      <c r="U9" s="11"/>
      <c r="V9" s="11"/>
      <c r="W9" s="11"/>
      <c r="X9" s="11"/>
      <c r="Y9" s="11"/>
      <c r="Z9" s="11"/>
    </row>
    <row r="10" spans="1:26" ht="13.8" x14ac:dyDescent="0.25">
      <c r="A10" s="12">
        <v>43252</v>
      </c>
      <c r="B10" s="13">
        <v>366.43</v>
      </c>
      <c r="C10" s="18">
        <f t="shared" si="0"/>
        <v>1.1455228000441853E-2</v>
      </c>
      <c r="D10" s="11"/>
      <c r="E10" s="11"/>
      <c r="F10" s="11"/>
      <c r="G10" s="11"/>
      <c r="H10" s="11"/>
      <c r="I10" s="11"/>
      <c r="J10" s="11"/>
      <c r="K10" s="12">
        <v>43252</v>
      </c>
      <c r="L10" s="13">
        <v>10714.3</v>
      </c>
      <c r="M10" s="18">
        <f t="shared" si="1"/>
        <v>-2.0351802089203508E-3</v>
      </c>
      <c r="N10" s="11"/>
      <c r="O10" s="11"/>
      <c r="P10" s="73" t="s">
        <v>33</v>
      </c>
      <c r="Q10" s="73">
        <f>(E4-V1)/Q4</f>
        <v>1.2167757968449426E-2</v>
      </c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3.8" x14ac:dyDescent="0.25">
      <c r="A11" s="12">
        <v>43282</v>
      </c>
      <c r="B11" s="13">
        <v>356.55</v>
      </c>
      <c r="C11" s="18">
        <f t="shared" si="0"/>
        <v>-2.6962857844608834E-2</v>
      </c>
      <c r="D11" s="11"/>
      <c r="E11" s="11"/>
      <c r="F11" s="11"/>
      <c r="G11" s="11"/>
      <c r="H11" s="11"/>
      <c r="I11" s="11"/>
      <c r="J11" s="11"/>
      <c r="K11" s="12">
        <v>43282</v>
      </c>
      <c r="L11" s="13">
        <v>11356.5</v>
      </c>
      <c r="M11" s="18">
        <f t="shared" si="1"/>
        <v>5.9938586748551126E-2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3.8" x14ac:dyDescent="0.25">
      <c r="A12" s="12">
        <v>43313</v>
      </c>
      <c r="B12" s="13">
        <v>334</v>
      </c>
      <c r="C12" s="18">
        <f t="shared" si="0"/>
        <v>-6.3244986677885362E-2</v>
      </c>
      <c r="D12" s="11"/>
      <c r="E12" s="11"/>
      <c r="F12" s="11"/>
      <c r="G12" s="11"/>
      <c r="H12" s="11"/>
      <c r="I12" s="11"/>
      <c r="J12" s="11"/>
      <c r="K12" s="12">
        <v>43313</v>
      </c>
      <c r="L12" s="13">
        <v>11680.5</v>
      </c>
      <c r="M12" s="18">
        <f t="shared" si="1"/>
        <v>2.8529916787742637E-2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3.8" x14ac:dyDescent="0.25">
      <c r="A13" s="12">
        <v>43344</v>
      </c>
      <c r="B13" s="13">
        <v>328.1</v>
      </c>
      <c r="C13" s="18">
        <f t="shared" si="0"/>
        <v>-1.7664670658682602E-2</v>
      </c>
      <c r="D13" s="11"/>
      <c r="E13" s="11"/>
      <c r="F13" s="11"/>
      <c r="G13" s="11"/>
      <c r="H13" s="11"/>
      <c r="I13" s="11"/>
      <c r="J13" s="11"/>
      <c r="K13" s="12">
        <v>43344</v>
      </c>
      <c r="L13" s="13">
        <v>10930.45</v>
      </c>
      <c r="M13" s="18">
        <f t="shared" si="1"/>
        <v>-6.42138607080176E-2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3.8" x14ac:dyDescent="0.25">
      <c r="A14" s="12">
        <v>43374</v>
      </c>
      <c r="B14" s="13">
        <v>318.14999999999998</v>
      </c>
      <c r="C14" s="18">
        <f t="shared" si="0"/>
        <v>-3.0326120085339969E-2</v>
      </c>
      <c r="D14" s="11"/>
      <c r="E14" s="11"/>
      <c r="F14" s="11"/>
      <c r="G14" s="11"/>
      <c r="H14" s="11"/>
      <c r="I14" s="11"/>
      <c r="J14" s="11"/>
      <c r="K14" s="12">
        <v>43374</v>
      </c>
      <c r="L14" s="13">
        <v>10386.6</v>
      </c>
      <c r="M14" s="18">
        <f t="shared" si="1"/>
        <v>-4.975549954484948E-2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3.8" x14ac:dyDescent="0.25">
      <c r="A15" s="12">
        <v>43405</v>
      </c>
      <c r="B15" s="13">
        <v>285</v>
      </c>
      <c r="C15" s="18">
        <f t="shared" si="0"/>
        <v>-0.10419613389910409</v>
      </c>
      <c r="D15" s="11"/>
      <c r="E15" s="11"/>
      <c r="F15" s="11"/>
      <c r="G15" s="11"/>
      <c r="H15" s="11"/>
      <c r="I15" s="11"/>
      <c r="J15" s="11"/>
      <c r="K15" s="12">
        <v>43405</v>
      </c>
      <c r="L15" s="13">
        <v>10876.75</v>
      </c>
      <c r="M15" s="18">
        <f t="shared" si="1"/>
        <v>4.7190610979531256E-2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3.8" x14ac:dyDescent="0.25">
      <c r="A16" s="12">
        <v>43435</v>
      </c>
      <c r="B16" s="13">
        <v>259</v>
      </c>
      <c r="C16" s="18">
        <f t="shared" si="0"/>
        <v>-9.1228070175438547E-2</v>
      </c>
      <c r="D16" s="11"/>
      <c r="E16" s="11"/>
      <c r="F16" s="11"/>
      <c r="G16" s="11"/>
      <c r="H16" s="11"/>
      <c r="I16" s="11"/>
      <c r="J16" s="11"/>
      <c r="K16" s="12">
        <v>43435</v>
      </c>
      <c r="L16" s="13">
        <v>10862.55</v>
      </c>
      <c r="M16" s="18">
        <f t="shared" si="1"/>
        <v>-1.3055370400165689E-3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3.8" x14ac:dyDescent="0.25">
      <c r="A17" s="12">
        <v>43466</v>
      </c>
      <c r="B17" s="13">
        <v>243.4</v>
      </c>
      <c r="C17" s="18">
        <f t="shared" si="0"/>
        <v>-6.0231660231660156E-2</v>
      </c>
      <c r="D17" s="11"/>
      <c r="E17" s="11"/>
      <c r="F17" s="11"/>
      <c r="G17" s="11"/>
      <c r="H17" s="11"/>
      <c r="I17" s="11"/>
      <c r="J17" s="11"/>
      <c r="K17" s="12">
        <v>43466</v>
      </c>
      <c r="L17" s="13">
        <v>10830.95</v>
      </c>
      <c r="M17" s="18">
        <f t="shared" si="1"/>
        <v>-2.909077518630343E-3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3.8" x14ac:dyDescent="0.25">
      <c r="A18" s="12">
        <v>43497</v>
      </c>
      <c r="B18" s="13">
        <v>217.45</v>
      </c>
      <c r="C18" s="18">
        <f t="shared" si="0"/>
        <v>-0.10661462612982753</v>
      </c>
      <c r="D18" s="11"/>
      <c r="E18" s="11"/>
      <c r="F18" s="11"/>
      <c r="G18" s="11"/>
      <c r="H18" s="11"/>
      <c r="I18" s="11"/>
      <c r="J18" s="11"/>
      <c r="K18" s="12">
        <v>43497</v>
      </c>
      <c r="L18" s="13">
        <v>10792.5</v>
      </c>
      <c r="M18" s="18">
        <f t="shared" si="1"/>
        <v>-3.5500117718206825E-3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3.8" x14ac:dyDescent="0.25">
      <c r="A19" s="12">
        <v>43525</v>
      </c>
      <c r="B19" s="13">
        <v>241.65</v>
      </c>
      <c r="C19" s="18">
        <f t="shared" si="0"/>
        <v>0.11128995171303746</v>
      </c>
      <c r="D19" s="11"/>
      <c r="E19" s="11"/>
      <c r="F19" s="11"/>
      <c r="G19" s="11"/>
      <c r="H19" s="11"/>
      <c r="I19" s="11"/>
      <c r="J19" s="11"/>
      <c r="K19" s="12">
        <v>43525</v>
      </c>
      <c r="L19" s="13">
        <v>11623.9</v>
      </c>
      <c r="M19" s="18">
        <f t="shared" si="1"/>
        <v>7.7034977993977183E-2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3.8" x14ac:dyDescent="0.25">
      <c r="A20" s="12">
        <v>43556</v>
      </c>
      <c r="B20" s="13">
        <v>240.2</v>
      </c>
      <c r="C20" s="18">
        <f t="shared" si="0"/>
        <v>-6.0004138216429581E-3</v>
      </c>
      <c r="D20" s="11"/>
      <c r="E20" s="11"/>
      <c r="F20" s="11"/>
      <c r="G20" s="11"/>
      <c r="H20" s="11"/>
      <c r="I20" s="11"/>
      <c r="J20" s="11"/>
      <c r="K20" s="12">
        <v>43556</v>
      </c>
      <c r="L20" s="13">
        <v>11748.15</v>
      </c>
      <c r="M20" s="18">
        <f t="shared" si="1"/>
        <v>1.0689183492631482E-2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3.8" x14ac:dyDescent="0.25">
      <c r="A21" s="15">
        <v>43586</v>
      </c>
      <c r="B21" s="13">
        <v>225.4</v>
      </c>
      <c r="C21" s="18">
        <f t="shared" si="0"/>
        <v>-6.1615320566194787E-2</v>
      </c>
      <c r="D21" s="11"/>
      <c r="E21" s="11"/>
      <c r="F21" s="11"/>
      <c r="G21" s="11"/>
      <c r="H21" s="11"/>
      <c r="I21" s="11"/>
      <c r="J21" s="11"/>
      <c r="K21" s="15">
        <v>43586</v>
      </c>
      <c r="L21" s="13">
        <v>11922.8</v>
      </c>
      <c r="M21" s="18">
        <f t="shared" si="1"/>
        <v>1.4866170418321056E-2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3.8" x14ac:dyDescent="0.25">
      <c r="A22" s="12">
        <v>43617</v>
      </c>
      <c r="B22" s="13">
        <v>218.35</v>
      </c>
      <c r="C22" s="18">
        <f t="shared" si="0"/>
        <v>-3.1277728482697498E-2</v>
      </c>
      <c r="D22" s="11"/>
      <c r="E22" s="11"/>
      <c r="F22" s="11"/>
      <c r="G22" s="11"/>
      <c r="H22" s="11"/>
      <c r="I22" s="11"/>
      <c r="J22" s="11"/>
      <c r="K22" s="12">
        <v>43617</v>
      </c>
      <c r="L22" s="13">
        <v>11788.85</v>
      </c>
      <c r="M22" s="18">
        <f t="shared" si="1"/>
        <v>-1.1234777065789792E-2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3.8" x14ac:dyDescent="0.25">
      <c r="A23" s="12">
        <v>43647</v>
      </c>
      <c r="B23" s="13">
        <v>190.85</v>
      </c>
      <c r="C23" s="18">
        <f t="shared" si="0"/>
        <v>-0.12594458438287159</v>
      </c>
      <c r="D23" s="11"/>
      <c r="E23" s="11"/>
      <c r="F23" s="11"/>
      <c r="G23" s="11"/>
      <c r="H23" s="11"/>
      <c r="I23" s="11"/>
      <c r="J23" s="11"/>
      <c r="K23" s="12">
        <v>43647</v>
      </c>
      <c r="L23" s="13">
        <v>11118</v>
      </c>
      <c r="M23" s="18">
        <f t="shared" si="1"/>
        <v>-5.6905465757898344E-2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3.8" x14ac:dyDescent="0.25">
      <c r="A24" s="12">
        <v>43678</v>
      </c>
      <c r="B24" s="13">
        <v>178.65</v>
      </c>
      <c r="C24" s="18">
        <f t="shared" si="0"/>
        <v>-6.3924548074403953E-2</v>
      </c>
      <c r="D24" s="11"/>
      <c r="E24" s="11"/>
      <c r="F24" s="11"/>
      <c r="G24" s="11"/>
      <c r="H24" s="11"/>
      <c r="I24" s="11"/>
      <c r="J24" s="11"/>
      <c r="K24" s="12">
        <v>43678</v>
      </c>
      <c r="L24" s="13">
        <v>11023.25</v>
      </c>
      <c r="M24" s="18">
        <f t="shared" si="1"/>
        <v>-8.5222162259399603E-3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3.8" x14ac:dyDescent="0.25">
      <c r="A25" s="12">
        <v>43709</v>
      </c>
      <c r="B25" s="13">
        <v>219.9</v>
      </c>
      <c r="C25" s="18">
        <f t="shared" si="0"/>
        <v>0.23089840470193113</v>
      </c>
      <c r="D25" s="11"/>
      <c r="E25" s="11"/>
      <c r="F25" s="11"/>
      <c r="G25" s="11"/>
      <c r="H25" s="11"/>
      <c r="I25" s="11"/>
      <c r="J25" s="11"/>
      <c r="K25" s="12">
        <v>43709</v>
      </c>
      <c r="L25" s="13">
        <v>11474.45</v>
      </c>
      <c r="M25" s="18">
        <f t="shared" si="1"/>
        <v>4.0931667158052409E-2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3.8" x14ac:dyDescent="0.25">
      <c r="A26" s="12">
        <v>43739</v>
      </c>
      <c r="B26" s="13">
        <v>311.14999999999998</v>
      </c>
      <c r="C26" s="18">
        <f t="shared" si="0"/>
        <v>0.41496134606639368</v>
      </c>
      <c r="D26" s="11"/>
      <c r="E26" s="11"/>
      <c r="F26" s="11"/>
      <c r="G26" s="11"/>
      <c r="H26" s="11"/>
      <c r="I26" s="11"/>
      <c r="J26" s="11"/>
      <c r="K26" s="12">
        <v>43739</v>
      </c>
      <c r="L26" s="13">
        <v>11877.45</v>
      </c>
      <c r="M26" s="18">
        <f t="shared" si="1"/>
        <v>3.5121509091939007E-2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3.8" x14ac:dyDescent="0.25">
      <c r="A27" s="12">
        <v>43770</v>
      </c>
      <c r="B27" s="13">
        <v>260.5</v>
      </c>
      <c r="C27" s="18">
        <f t="shared" si="0"/>
        <v>-0.16278322352563068</v>
      </c>
      <c r="D27" s="11"/>
      <c r="E27" s="11"/>
      <c r="F27" s="11"/>
      <c r="G27" s="11"/>
      <c r="H27" s="11"/>
      <c r="I27" s="11"/>
      <c r="J27" s="11"/>
      <c r="K27" s="12">
        <v>43770</v>
      </c>
      <c r="L27" s="13">
        <v>12056.05</v>
      </c>
      <c r="M27" s="18">
        <f t="shared" si="1"/>
        <v>1.5036897650589909E-2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3.8" x14ac:dyDescent="0.25">
      <c r="A28" s="12">
        <v>43800</v>
      </c>
      <c r="B28" s="13">
        <v>226.4</v>
      </c>
      <c r="C28" s="18">
        <f t="shared" si="0"/>
        <v>-0.13090211132437612</v>
      </c>
      <c r="D28" s="11"/>
      <c r="E28" s="11"/>
      <c r="F28" s="11"/>
      <c r="G28" s="11"/>
      <c r="H28" s="11"/>
      <c r="I28" s="11"/>
      <c r="J28" s="11"/>
      <c r="K28" s="12">
        <v>43800</v>
      </c>
      <c r="L28" s="13">
        <v>12168.45</v>
      </c>
      <c r="M28" s="18">
        <f t="shared" si="1"/>
        <v>9.3231199273395848E-3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3.8" x14ac:dyDescent="0.25">
      <c r="A29" s="12">
        <v>43831</v>
      </c>
      <c r="B29" s="13">
        <v>250</v>
      </c>
      <c r="C29" s="18">
        <f t="shared" si="0"/>
        <v>0.10424028268551244</v>
      </c>
      <c r="D29" s="11"/>
      <c r="E29" s="11"/>
      <c r="F29" s="11"/>
      <c r="G29" s="11"/>
      <c r="H29" s="11"/>
      <c r="I29" s="11"/>
      <c r="J29" s="11"/>
      <c r="K29" s="12">
        <v>43831</v>
      </c>
      <c r="L29" s="13">
        <v>11962.1</v>
      </c>
      <c r="M29" s="18">
        <f t="shared" si="1"/>
        <v>-1.6957788378963667E-2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3.8" x14ac:dyDescent="0.25">
      <c r="A30" s="12">
        <v>43862</v>
      </c>
      <c r="B30" s="13">
        <v>163.69999999999999</v>
      </c>
      <c r="C30" s="18">
        <f t="shared" si="0"/>
        <v>-0.34520000000000006</v>
      </c>
      <c r="D30" s="11"/>
      <c r="E30" s="11"/>
      <c r="F30" s="11"/>
      <c r="G30" s="11"/>
      <c r="H30" s="11"/>
      <c r="I30" s="11"/>
      <c r="J30" s="11"/>
      <c r="K30" s="12">
        <v>43862</v>
      </c>
      <c r="L30" s="13">
        <v>11201.75</v>
      </c>
      <c r="M30" s="18">
        <f t="shared" si="1"/>
        <v>-6.3563253943705544E-2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3.8" x14ac:dyDescent="0.25">
      <c r="A31" s="12">
        <v>43891</v>
      </c>
      <c r="B31" s="13">
        <v>105.2</v>
      </c>
      <c r="C31" s="18">
        <f t="shared" si="0"/>
        <v>-0.3573610262675625</v>
      </c>
      <c r="D31" s="11"/>
      <c r="E31" s="11"/>
      <c r="F31" s="11"/>
      <c r="G31" s="11"/>
      <c r="H31" s="11"/>
      <c r="I31" s="11"/>
      <c r="J31" s="11"/>
      <c r="K31" s="12">
        <v>43891</v>
      </c>
      <c r="L31" s="13">
        <v>8597.75</v>
      </c>
      <c r="M31" s="18">
        <f t="shared" si="1"/>
        <v>-0.23246367755038277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3.8" x14ac:dyDescent="0.25">
      <c r="A32" s="12">
        <v>43922</v>
      </c>
      <c r="B32" s="13">
        <v>140</v>
      </c>
      <c r="C32" s="18">
        <f t="shared" si="0"/>
        <v>0.33079847908745252</v>
      </c>
      <c r="D32" s="11"/>
      <c r="E32" s="11"/>
      <c r="F32" s="11"/>
      <c r="G32" s="11"/>
      <c r="H32" s="11"/>
      <c r="I32" s="11"/>
      <c r="J32" s="11"/>
      <c r="K32" s="12">
        <v>43922</v>
      </c>
      <c r="L32" s="13">
        <v>9859.9</v>
      </c>
      <c r="M32" s="18">
        <f t="shared" si="1"/>
        <v>0.14680003489284976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3.8" x14ac:dyDescent="0.25">
      <c r="A33" s="15">
        <v>43952</v>
      </c>
      <c r="B33" s="13">
        <v>138.5</v>
      </c>
      <c r="C33" s="18">
        <f t="shared" si="0"/>
        <v>-1.0714285714285676E-2</v>
      </c>
      <c r="D33" s="11"/>
      <c r="E33" s="11"/>
      <c r="F33" s="11"/>
      <c r="G33" s="11"/>
      <c r="H33" s="11"/>
      <c r="I33" s="11"/>
      <c r="J33" s="11"/>
      <c r="K33" s="15">
        <v>43952</v>
      </c>
      <c r="L33" s="13">
        <v>9580.2999999999993</v>
      </c>
      <c r="M33" s="18">
        <f t="shared" si="1"/>
        <v>-2.8357285570847601E-2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3.8" x14ac:dyDescent="0.25">
      <c r="A34" s="12">
        <v>43983</v>
      </c>
      <c r="B34" s="13">
        <v>149.1</v>
      </c>
      <c r="C34" s="18">
        <f t="shared" si="0"/>
        <v>7.6534296028880844E-2</v>
      </c>
      <c r="D34" s="11"/>
      <c r="E34" s="11"/>
      <c r="F34" s="11"/>
      <c r="G34" s="11"/>
      <c r="H34" s="11"/>
      <c r="I34" s="11"/>
      <c r="J34" s="11"/>
      <c r="K34" s="12">
        <v>43983</v>
      </c>
      <c r="L34" s="13">
        <v>10302.1</v>
      </c>
      <c r="M34" s="18">
        <f t="shared" si="1"/>
        <v>7.5342108284709441E-2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3.8" x14ac:dyDescent="0.25">
      <c r="A35" s="12">
        <v>44013</v>
      </c>
      <c r="B35" s="13">
        <v>143.85</v>
      </c>
      <c r="C35" s="18">
        <f t="shared" ref="C35:C66" si="2">B35/B34-1</f>
        <v>-3.5211267605633756E-2</v>
      </c>
      <c r="D35" s="11"/>
      <c r="E35" s="11"/>
      <c r="F35" s="11"/>
      <c r="G35" s="11"/>
      <c r="H35" s="11"/>
      <c r="I35" s="11"/>
      <c r="J35" s="11"/>
      <c r="K35" s="12">
        <v>44013</v>
      </c>
      <c r="L35" s="13">
        <v>11073.45</v>
      </c>
      <c r="M35" s="18">
        <f t="shared" ref="M35:M66" si="3">L35/L34-1</f>
        <v>7.4873084128478595E-2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3.8" x14ac:dyDescent="0.25">
      <c r="A36" s="12">
        <v>44044</v>
      </c>
      <c r="B36" s="13">
        <v>146.65</v>
      </c>
      <c r="C36" s="18">
        <f t="shared" si="2"/>
        <v>1.9464720194647178E-2</v>
      </c>
      <c r="D36" s="11"/>
      <c r="E36" s="11"/>
      <c r="F36" s="11"/>
      <c r="G36" s="11"/>
      <c r="H36" s="11"/>
      <c r="I36" s="11"/>
      <c r="J36" s="11"/>
      <c r="K36" s="12">
        <v>44044</v>
      </c>
      <c r="L36" s="13">
        <v>11387.5</v>
      </c>
      <c r="M36" s="18">
        <f t="shared" si="3"/>
        <v>2.8360628349791472E-2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3.8" x14ac:dyDescent="0.25">
      <c r="A37" s="12">
        <v>44075</v>
      </c>
      <c r="B37" s="13">
        <v>120.9</v>
      </c>
      <c r="C37" s="18">
        <f t="shared" si="2"/>
        <v>-0.17558813501534265</v>
      </c>
      <c r="D37" s="11"/>
      <c r="E37" s="11"/>
      <c r="F37" s="11"/>
      <c r="G37" s="11"/>
      <c r="H37" s="11"/>
      <c r="I37" s="11"/>
      <c r="J37" s="11"/>
      <c r="K37" s="12">
        <v>44075</v>
      </c>
      <c r="L37" s="13">
        <v>11247.55</v>
      </c>
      <c r="M37" s="18">
        <f t="shared" si="3"/>
        <v>-1.2289791437980258E-2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3.8" x14ac:dyDescent="0.25">
      <c r="A38" s="12">
        <v>44105</v>
      </c>
      <c r="B38" s="13">
        <v>117.85</v>
      </c>
      <c r="C38" s="18">
        <f t="shared" si="2"/>
        <v>-2.5227460711331751E-2</v>
      </c>
      <c r="D38" s="11"/>
      <c r="E38" s="11"/>
      <c r="F38" s="11"/>
      <c r="G38" s="11"/>
      <c r="H38" s="11"/>
      <c r="I38" s="11"/>
      <c r="J38" s="11"/>
      <c r="K38" s="12">
        <v>44105</v>
      </c>
      <c r="L38" s="13">
        <v>11642.4</v>
      </c>
      <c r="M38" s="18">
        <f t="shared" si="3"/>
        <v>3.5105422958777721E-2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3.8" x14ac:dyDescent="0.25">
      <c r="A39" s="12">
        <v>44136</v>
      </c>
      <c r="B39" s="13">
        <v>140.94999999999999</v>
      </c>
      <c r="C39" s="18">
        <f t="shared" si="2"/>
        <v>0.19601187950784893</v>
      </c>
      <c r="D39" s="11"/>
      <c r="E39" s="11"/>
      <c r="F39" s="11"/>
      <c r="G39" s="11"/>
      <c r="H39" s="11"/>
      <c r="I39" s="11"/>
      <c r="J39" s="11"/>
      <c r="K39" s="12">
        <v>44136</v>
      </c>
      <c r="L39" s="13">
        <v>12968.95</v>
      </c>
      <c r="M39" s="18">
        <f t="shared" si="3"/>
        <v>0.11394128358414091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3.8" x14ac:dyDescent="0.25">
      <c r="A40" s="12">
        <v>44166</v>
      </c>
      <c r="B40" s="13">
        <v>139.1</v>
      </c>
      <c r="C40" s="18">
        <f t="shared" si="2"/>
        <v>-1.3125221709826107E-2</v>
      </c>
      <c r="D40" s="11"/>
      <c r="E40" s="11"/>
      <c r="F40" s="11"/>
      <c r="G40" s="11"/>
      <c r="H40" s="11"/>
      <c r="I40" s="11"/>
      <c r="J40" s="11"/>
      <c r="K40" s="12">
        <v>44166</v>
      </c>
      <c r="L40" s="13">
        <v>13981.75</v>
      </c>
      <c r="M40" s="18">
        <f t="shared" si="3"/>
        <v>7.8094217342190353E-2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3.8" x14ac:dyDescent="0.25">
      <c r="A41" s="12">
        <v>44197</v>
      </c>
      <c r="B41" s="13">
        <v>131.9</v>
      </c>
      <c r="C41" s="18">
        <f t="shared" si="2"/>
        <v>-5.1761322789360076E-2</v>
      </c>
      <c r="D41" s="11"/>
      <c r="E41" s="11"/>
      <c r="F41" s="11"/>
      <c r="G41" s="11"/>
      <c r="H41" s="11"/>
      <c r="I41" s="11"/>
      <c r="J41" s="11"/>
      <c r="K41" s="12">
        <v>44197</v>
      </c>
      <c r="L41" s="13">
        <v>13634.6</v>
      </c>
      <c r="M41" s="18">
        <f t="shared" si="3"/>
        <v>-2.4828794678777633E-2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3.8" x14ac:dyDescent="0.25">
      <c r="A42" s="12">
        <v>44228</v>
      </c>
      <c r="B42" s="13">
        <v>189.05</v>
      </c>
      <c r="C42" s="18">
        <f t="shared" si="2"/>
        <v>0.43328278999241854</v>
      </c>
      <c r="D42" s="11"/>
      <c r="E42" s="11"/>
      <c r="F42" s="11"/>
      <c r="G42" s="11"/>
      <c r="H42" s="11"/>
      <c r="I42" s="11"/>
      <c r="J42" s="11"/>
      <c r="K42" s="12">
        <v>44228</v>
      </c>
      <c r="L42" s="13">
        <v>14529.15</v>
      </c>
      <c r="M42" s="18">
        <f t="shared" si="3"/>
        <v>6.5608818740557018E-2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3.8" x14ac:dyDescent="0.25">
      <c r="A43" s="12">
        <v>44256</v>
      </c>
      <c r="B43" s="13">
        <v>199.4</v>
      </c>
      <c r="C43" s="18">
        <f t="shared" si="2"/>
        <v>5.4747421317111744E-2</v>
      </c>
      <c r="D43" s="11"/>
      <c r="E43" s="11"/>
      <c r="F43" s="11"/>
      <c r="G43" s="11"/>
      <c r="H43" s="11"/>
      <c r="I43" s="11"/>
      <c r="J43" s="11"/>
      <c r="K43" s="12">
        <v>44256</v>
      </c>
      <c r="L43" s="13">
        <v>14690.7</v>
      </c>
      <c r="M43" s="18">
        <f t="shared" si="3"/>
        <v>1.111902623346861E-2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3.8" x14ac:dyDescent="0.25">
      <c r="A44" s="12">
        <v>44287</v>
      </c>
      <c r="B44" s="13">
        <v>204.75</v>
      </c>
      <c r="C44" s="18">
        <f t="shared" si="2"/>
        <v>2.683049147442329E-2</v>
      </c>
      <c r="D44" s="11"/>
      <c r="E44" s="11"/>
      <c r="F44" s="11"/>
      <c r="G44" s="11"/>
      <c r="H44" s="11"/>
      <c r="I44" s="11"/>
      <c r="J44" s="11"/>
      <c r="K44" s="12">
        <v>44287</v>
      </c>
      <c r="L44" s="13">
        <v>14631.1</v>
      </c>
      <c r="M44" s="18">
        <f t="shared" si="3"/>
        <v>-4.0569884348601315E-3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3.8" x14ac:dyDescent="0.25">
      <c r="A45" s="15">
        <v>44317</v>
      </c>
      <c r="B45" s="13">
        <v>196.8</v>
      </c>
      <c r="C45" s="18">
        <f t="shared" si="2"/>
        <v>-3.8827838827838801E-2</v>
      </c>
      <c r="D45" s="11"/>
      <c r="E45" s="11"/>
      <c r="F45" s="11"/>
      <c r="G45" s="11"/>
      <c r="H45" s="11"/>
      <c r="I45" s="11"/>
      <c r="J45" s="11"/>
      <c r="K45" s="15">
        <v>44317</v>
      </c>
      <c r="L45" s="13">
        <v>15582.8</v>
      </c>
      <c r="M45" s="18">
        <f t="shared" si="3"/>
        <v>6.5046373820150105E-2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3.8" x14ac:dyDescent="0.25">
      <c r="A46" s="12">
        <v>44348</v>
      </c>
      <c r="B46" s="13">
        <v>208.5</v>
      </c>
      <c r="C46" s="18">
        <f t="shared" si="2"/>
        <v>5.9451219512195008E-2</v>
      </c>
      <c r="D46" s="11"/>
      <c r="E46" s="11"/>
      <c r="F46" s="11"/>
      <c r="G46" s="11"/>
      <c r="H46" s="11"/>
      <c r="I46" s="11"/>
      <c r="J46" s="11"/>
      <c r="K46" s="12">
        <v>44348</v>
      </c>
      <c r="L46" s="13">
        <v>15721.5</v>
      </c>
      <c r="M46" s="18">
        <f t="shared" si="3"/>
        <v>8.9008393870164682E-3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3.8" x14ac:dyDescent="0.25">
      <c r="A47" s="12">
        <v>44378</v>
      </c>
      <c r="B47" s="13">
        <v>180.5</v>
      </c>
      <c r="C47" s="18">
        <f t="shared" si="2"/>
        <v>-0.13429256594724226</v>
      </c>
      <c r="D47" s="11"/>
      <c r="E47" s="11"/>
      <c r="F47" s="11"/>
      <c r="G47" s="11"/>
      <c r="H47" s="11"/>
      <c r="I47" s="11"/>
      <c r="J47" s="11"/>
      <c r="K47" s="12">
        <v>44378</v>
      </c>
      <c r="L47" s="13">
        <v>15763.05</v>
      </c>
      <c r="M47" s="18">
        <f t="shared" si="3"/>
        <v>2.6428775880162902E-3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3.8" x14ac:dyDescent="0.25">
      <c r="A48" s="12">
        <v>44409</v>
      </c>
      <c r="B48" s="13">
        <v>148.25</v>
      </c>
      <c r="C48" s="18">
        <f t="shared" si="2"/>
        <v>-0.17867036011080328</v>
      </c>
      <c r="D48" s="11"/>
      <c r="E48" s="11"/>
      <c r="F48" s="11"/>
      <c r="G48" s="11"/>
      <c r="H48" s="11"/>
      <c r="I48" s="11"/>
      <c r="J48" s="11"/>
      <c r="K48" s="12">
        <v>44409</v>
      </c>
      <c r="L48" s="13">
        <v>17132.2</v>
      </c>
      <c r="M48" s="18">
        <f t="shared" si="3"/>
        <v>8.6858190515160638E-2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3.8" x14ac:dyDescent="0.25">
      <c r="A49" s="12">
        <v>44440</v>
      </c>
      <c r="B49" s="13">
        <v>145.05000000000001</v>
      </c>
      <c r="C49" s="18">
        <f t="shared" si="2"/>
        <v>-2.1585160202360787E-2</v>
      </c>
      <c r="D49" s="11"/>
      <c r="E49" s="11"/>
      <c r="F49" s="11"/>
      <c r="G49" s="11"/>
      <c r="H49" s="11"/>
      <c r="I49" s="11"/>
      <c r="J49" s="11"/>
      <c r="K49" s="12">
        <v>44440</v>
      </c>
      <c r="L49" s="13">
        <v>17618.150000000001</v>
      </c>
      <c r="M49" s="18">
        <f t="shared" si="3"/>
        <v>2.8364716732235173E-2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3.8" x14ac:dyDescent="0.25">
      <c r="A50" s="12">
        <v>44470</v>
      </c>
      <c r="B50" s="13">
        <v>133.30000000000001</v>
      </c>
      <c r="C50" s="18">
        <f t="shared" si="2"/>
        <v>-8.1006549465701516E-2</v>
      </c>
      <c r="D50" s="11"/>
      <c r="E50" s="11"/>
      <c r="F50" s="11"/>
      <c r="G50" s="11"/>
      <c r="H50" s="11"/>
      <c r="I50" s="11"/>
      <c r="J50" s="11"/>
      <c r="K50" s="12">
        <v>44470</v>
      </c>
      <c r="L50" s="13">
        <v>17671.650000000001</v>
      </c>
      <c r="M50" s="18">
        <f t="shared" si="3"/>
        <v>3.0366411910445201E-3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3.8" x14ac:dyDescent="0.25">
      <c r="A51" s="12">
        <v>44501</v>
      </c>
      <c r="B51" s="13">
        <v>141.75</v>
      </c>
      <c r="C51" s="18">
        <f t="shared" si="2"/>
        <v>6.3390847711927822E-2</v>
      </c>
      <c r="D51" s="11"/>
      <c r="E51" s="11"/>
      <c r="F51" s="11"/>
      <c r="G51" s="11"/>
      <c r="H51" s="11"/>
      <c r="I51" s="11"/>
      <c r="J51" s="11"/>
      <c r="K51" s="12">
        <v>44501</v>
      </c>
      <c r="L51" s="13">
        <v>16983.2</v>
      </c>
      <c r="M51" s="18">
        <f t="shared" si="3"/>
        <v>-3.8957878862471818E-2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3.8" x14ac:dyDescent="0.25">
      <c r="A52" s="12">
        <v>44531</v>
      </c>
      <c r="B52" s="13">
        <v>140.80000000000001</v>
      </c>
      <c r="C52" s="18">
        <f t="shared" si="2"/>
        <v>-6.7019400352732461E-3</v>
      </c>
      <c r="D52" s="11"/>
      <c r="E52" s="11"/>
      <c r="F52" s="11"/>
      <c r="G52" s="11"/>
      <c r="H52" s="11"/>
      <c r="I52" s="11"/>
      <c r="J52" s="11"/>
      <c r="K52" s="12">
        <v>44531</v>
      </c>
      <c r="L52" s="13">
        <v>17354.05</v>
      </c>
      <c r="M52" s="18">
        <f t="shared" si="3"/>
        <v>2.1836285270149247E-2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3.8" x14ac:dyDescent="0.25">
      <c r="A53" s="12">
        <v>44562</v>
      </c>
      <c r="B53" s="13">
        <v>142.9</v>
      </c>
      <c r="C53" s="18">
        <f t="shared" si="2"/>
        <v>1.4914772727272707E-2</v>
      </c>
      <c r="D53" s="11"/>
      <c r="E53" s="11"/>
      <c r="F53" s="11"/>
      <c r="G53" s="11"/>
      <c r="H53" s="11"/>
      <c r="I53" s="11"/>
      <c r="J53" s="11"/>
      <c r="K53" s="12">
        <v>44562</v>
      </c>
      <c r="L53" s="13">
        <v>17339.849999999999</v>
      </c>
      <c r="M53" s="18">
        <f t="shared" si="3"/>
        <v>-8.1825279977876253E-4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3.8" x14ac:dyDescent="0.25">
      <c r="A54" s="12">
        <v>44593</v>
      </c>
      <c r="B54" s="13">
        <v>116.2</v>
      </c>
      <c r="C54" s="18">
        <f t="shared" si="2"/>
        <v>-0.18684394681595518</v>
      </c>
      <c r="D54" s="11"/>
      <c r="E54" s="11"/>
      <c r="F54" s="11"/>
      <c r="G54" s="11"/>
      <c r="H54" s="11"/>
      <c r="I54" s="11"/>
      <c r="J54" s="11"/>
      <c r="K54" s="12">
        <v>44593</v>
      </c>
      <c r="L54" s="13">
        <v>16793.900000000001</v>
      </c>
      <c r="M54" s="18">
        <f t="shared" si="3"/>
        <v>-3.1485278131010208E-2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3.8" x14ac:dyDescent="0.25">
      <c r="A55" s="12">
        <v>44621</v>
      </c>
      <c r="B55" s="13">
        <v>113.85</v>
      </c>
      <c r="C55" s="18">
        <f t="shared" si="2"/>
        <v>-2.0223752151463104E-2</v>
      </c>
      <c r="D55" s="11"/>
      <c r="E55" s="11"/>
      <c r="F55" s="11"/>
      <c r="G55" s="11"/>
      <c r="H55" s="11"/>
      <c r="I55" s="11"/>
      <c r="J55" s="11"/>
      <c r="K55" s="12">
        <v>44621</v>
      </c>
      <c r="L55" s="13">
        <v>17464.75</v>
      </c>
      <c r="M55" s="18">
        <f t="shared" si="3"/>
        <v>3.9946051840251462E-2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3.8" x14ac:dyDescent="0.25">
      <c r="A56" s="12">
        <v>44652</v>
      </c>
      <c r="B56" s="13">
        <v>130.15</v>
      </c>
      <c r="C56" s="18">
        <f t="shared" si="2"/>
        <v>0.14317083882301285</v>
      </c>
      <c r="D56" s="11"/>
      <c r="E56" s="11"/>
      <c r="F56" s="11"/>
      <c r="G56" s="11"/>
      <c r="H56" s="11"/>
      <c r="I56" s="11"/>
      <c r="J56" s="11"/>
      <c r="K56" s="12">
        <v>44652</v>
      </c>
      <c r="L56" s="13">
        <v>17102.55</v>
      </c>
      <c r="M56" s="18">
        <f t="shared" si="3"/>
        <v>-2.0738916961307807E-2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3.8" x14ac:dyDescent="0.25">
      <c r="A57" s="15">
        <v>44682</v>
      </c>
      <c r="B57" s="13">
        <v>119.5</v>
      </c>
      <c r="C57" s="18">
        <f t="shared" si="2"/>
        <v>-8.1828659239339241E-2</v>
      </c>
      <c r="D57" s="11"/>
      <c r="E57" s="11"/>
      <c r="F57" s="11"/>
      <c r="G57" s="11"/>
      <c r="H57" s="11"/>
      <c r="I57" s="11"/>
      <c r="J57" s="11"/>
      <c r="K57" s="15">
        <v>44682</v>
      </c>
      <c r="L57" s="13">
        <v>16584.55</v>
      </c>
      <c r="M57" s="18">
        <f t="shared" si="3"/>
        <v>-3.0287881046978327E-2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3.8" x14ac:dyDescent="0.25">
      <c r="A58" s="12">
        <v>44713</v>
      </c>
      <c r="B58" s="13">
        <v>115.2</v>
      </c>
      <c r="C58" s="18">
        <f t="shared" si="2"/>
        <v>-3.5983263598326376E-2</v>
      </c>
      <c r="D58" s="11"/>
      <c r="E58" s="11"/>
      <c r="F58" s="11"/>
      <c r="G58" s="11"/>
      <c r="H58" s="11"/>
      <c r="I58" s="11"/>
      <c r="J58" s="11"/>
      <c r="K58" s="12">
        <v>44713</v>
      </c>
      <c r="L58" s="13">
        <v>15780.25</v>
      </c>
      <c r="M58" s="18">
        <f t="shared" si="3"/>
        <v>-4.8496944445281853E-2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3.8" x14ac:dyDescent="0.25">
      <c r="A59" s="12">
        <v>44743</v>
      </c>
      <c r="B59" s="13">
        <v>116.3</v>
      </c>
      <c r="C59" s="18">
        <f t="shared" si="2"/>
        <v>9.5486111111111605E-3</v>
      </c>
      <c r="D59" s="11"/>
      <c r="E59" s="11"/>
      <c r="F59" s="11"/>
      <c r="G59" s="11"/>
      <c r="H59" s="11"/>
      <c r="I59" s="11"/>
      <c r="J59" s="11"/>
      <c r="K59" s="12">
        <v>44743</v>
      </c>
      <c r="L59" s="13">
        <v>17158.25</v>
      </c>
      <c r="M59" s="18">
        <f t="shared" si="3"/>
        <v>8.7324345305048956E-2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3.8" x14ac:dyDescent="0.25">
      <c r="A60" s="12">
        <v>44774</v>
      </c>
      <c r="B60" s="13">
        <v>124.1</v>
      </c>
      <c r="C60" s="18">
        <f t="shared" si="2"/>
        <v>6.7067927773000857E-2</v>
      </c>
      <c r="D60" s="11"/>
      <c r="E60" s="11"/>
      <c r="F60" s="11"/>
      <c r="G60" s="11"/>
      <c r="H60" s="11"/>
      <c r="I60" s="11"/>
      <c r="J60" s="11"/>
      <c r="K60" s="12">
        <v>44774</v>
      </c>
      <c r="L60" s="13">
        <v>17759.3</v>
      </c>
      <c r="M60" s="18">
        <f t="shared" si="3"/>
        <v>3.5029796162195925E-2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3.8" x14ac:dyDescent="0.25">
      <c r="A61" s="12">
        <v>44805</v>
      </c>
      <c r="B61" s="13">
        <v>122.95</v>
      </c>
      <c r="C61" s="18">
        <f t="shared" si="2"/>
        <v>-9.2667203867847769E-3</v>
      </c>
      <c r="D61" s="11"/>
      <c r="E61" s="11"/>
      <c r="F61" s="11"/>
      <c r="G61" s="11"/>
      <c r="H61" s="11"/>
      <c r="I61" s="11"/>
      <c r="J61" s="11"/>
      <c r="K61" s="12">
        <v>44805</v>
      </c>
      <c r="L61" s="13">
        <v>17094.349999999999</v>
      </c>
      <c r="M61" s="18">
        <f t="shared" si="3"/>
        <v>-3.7442354146841383E-2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3.8" x14ac:dyDescent="0.25">
      <c r="A62" s="12">
        <v>44835</v>
      </c>
      <c r="B62" s="13">
        <v>123.75</v>
      </c>
      <c r="C62" s="18">
        <f t="shared" si="2"/>
        <v>6.5067100447335768E-3</v>
      </c>
      <c r="D62" s="11"/>
      <c r="E62" s="11"/>
      <c r="F62" s="11"/>
      <c r="G62" s="11"/>
      <c r="H62" s="11"/>
      <c r="I62" s="11"/>
      <c r="J62" s="11"/>
      <c r="K62" s="12">
        <v>44835</v>
      </c>
      <c r="L62" s="13">
        <v>18012.2</v>
      </c>
      <c r="M62" s="18">
        <f t="shared" si="3"/>
        <v>5.3693179325332796E-2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3.8" x14ac:dyDescent="0.25">
      <c r="A63" s="12">
        <v>44866</v>
      </c>
      <c r="B63" s="13">
        <v>148.94999999999999</v>
      </c>
      <c r="C63" s="18">
        <f t="shared" si="2"/>
        <v>0.20363636363636362</v>
      </c>
      <c r="D63" s="11"/>
      <c r="E63" s="11"/>
      <c r="F63" s="11"/>
      <c r="G63" s="11"/>
      <c r="H63" s="11"/>
      <c r="I63" s="11"/>
      <c r="J63" s="11"/>
      <c r="K63" s="12">
        <v>44866</v>
      </c>
      <c r="L63" s="13">
        <v>18758.349999999999</v>
      </c>
      <c r="M63" s="18">
        <f t="shared" si="3"/>
        <v>4.1424701035964295E-2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3.8" x14ac:dyDescent="0.25">
      <c r="A64" s="12">
        <v>44896</v>
      </c>
      <c r="B64" s="13">
        <v>178.75</v>
      </c>
      <c r="C64" s="18">
        <f t="shared" si="2"/>
        <v>0.200067136623028</v>
      </c>
      <c r="D64" s="11"/>
      <c r="E64" s="11"/>
      <c r="F64" s="11"/>
      <c r="G64" s="11"/>
      <c r="H64" s="11"/>
      <c r="I64" s="11"/>
      <c r="J64" s="11"/>
      <c r="K64" s="12">
        <v>44896</v>
      </c>
      <c r="L64" s="13">
        <v>18105.3</v>
      </c>
      <c r="M64" s="18">
        <f t="shared" si="3"/>
        <v>-3.4813829574562805E-2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3.8" x14ac:dyDescent="0.25">
      <c r="A65" s="12">
        <v>44927</v>
      </c>
      <c r="B65" s="13">
        <v>184.15</v>
      </c>
      <c r="C65" s="18">
        <f t="shared" si="2"/>
        <v>3.0209790209790199E-2</v>
      </c>
      <c r="D65" s="11"/>
      <c r="E65" s="11"/>
      <c r="F65" s="11"/>
      <c r="G65" s="11"/>
      <c r="H65" s="11"/>
      <c r="I65" s="11"/>
      <c r="J65" s="11"/>
      <c r="K65" s="12">
        <v>44927</v>
      </c>
      <c r="L65" s="13">
        <v>17662.150000000001</v>
      </c>
      <c r="M65" s="18">
        <f t="shared" si="3"/>
        <v>-2.4476258333195111E-2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3.8" x14ac:dyDescent="0.25">
      <c r="A66" s="12">
        <v>44958</v>
      </c>
      <c r="B66" s="13">
        <v>145.69999999999999</v>
      </c>
      <c r="C66" s="18">
        <f t="shared" si="2"/>
        <v>-0.20879717621504212</v>
      </c>
      <c r="D66" s="11"/>
      <c r="E66" s="11"/>
      <c r="F66" s="11"/>
      <c r="G66" s="11"/>
      <c r="H66" s="11"/>
      <c r="I66" s="11"/>
      <c r="J66" s="11"/>
      <c r="K66" s="12">
        <v>44958</v>
      </c>
      <c r="L66" s="13">
        <v>17303.95</v>
      </c>
      <c r="M66" s="18">
        <f t="shared" si="3"/>
        <v>-2.0280656658447582E-2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3.8" x14ac:dyDescent="0.25">
      <c r="A67" s="12">
        <v>44986</v>
      </c>
      <c r="B67" s="13">
        <v>133.65</v>
      </c>
      <c r="C67" s="18">
        <f t="shared" ref="C67:C98" si="4">B67/B66-1</f>
        <v>-8.2704186684969039E-2</v>
      </c>
      <c r="D67" s="11"/>
      <c r="E67" s="11"/>
      <c r="F67" s="11"/>
      <c r="G67" s="11"/>
      <c r="H67" s="11"/>
      <c r="I67" s="11"/>
      <c r="J67" s="11"/>
      <c r="K67" s="12">
        <v>44986</v>
      </c>
      <c r="L67" s="13">
        <v>17359.75</v>
      </c>
      <c r="M67" s="18">
        <f t="shared" ref="M67:M98" si="5">L67/L66-1</f>
        <v>3.2246972512055549E-3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3.8" x14ac:dyDescent="0.25">
      <c r="A68" s="12">
        <v>45017</v>
      </c>
      <c r="B68" s="13">
        <v>153.5</v>
      </c>
      <c r="C68" s="18">
        <f t="shared" si="4"/>
        <v>0.14852225963337062</v>
      </c>
      <c r="D68" s="11"/>
      <c r="E68" s="11"/>
      <c r="F68" s="11"/>
      <c r="G68" s="11"/>
      <c r="H68" s="11"/>
      <c r="I68" s="11"/>
      <c r="J68" s="11"/>
      <c r="K68" s="12">
        <v>45017</v>
      </c>
      <c r="L68" s="13">
        <v>18065</v>
      </c>
      <c r="M68" s="18">
        <f t="shared" si="5"/>
        <v>4.0625585045867663E-2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3.8" x14ac:dyDescent="0.25">
      <c r="A69" s="15">
        <v>45047</v>
      </c>
      <c r="B69" s="13">
        <v>184.45</v>
      </c>
      <c r="C69" s="18">
        <f t="shared" si="4"/>
        <v>0.20162866449511396</v>
      </c>
      <c r="D69" s="11"/>
      <c r="E69" s="11"/>
      <c r="F69" s="11"/>
      <c r="G69" s="11"/>
      <c r="H69" s="11"/>
      <c r="I69" s="11"/>
      <c r="J69" s="11"/>
      <c r="K69" s="15">
        <v>45047</v>
      </c>
      <c r="L69" s="13">
        <v>18534.400000000001</v>
      </c>
      <c r="M69" s="18">
        <f t="shared" si="5"/>
        <v>2.5983946858566309E-2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3.8" x14ac:dyDescent="0.25">
      <c r="A70" s="12">
        <v>45078</v>
      </c>
      <c r="B70" s="13">
        <v>182.65</v>
      </c>
      <c r="C70" s="18">
        <f t="shared" si="4"/>
        <v>-9.7587422065599227E-3</v>
      </c>
      <c r="D70" s="11"/>
      <c r="E70" s="11"/>
      <c r="F70" s="11"/>
      <c r="G70" s="11"/>
      <c r="H70" s="11"/>
      <c r="I70" s="11"/>
      <c r="J70" s="11"/>
      <c r="K70" s="12">
        <v>45078</v>
      </c>
      <c r="L70" s="13">
        <v>19189.05</v>
      </c>
      <c r="M70" s="18">
        <f t="shared" si="5"/>
        <v>3.5320808874309328E-2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3.8" x14ac:dyDescent="0.25">
      <c r="A71" s="12">
        <v>45108</v>
      </c>
      <c r="B71" s="13">
        <v>205.25</v>
      </c>
      <c r="C71" s="18">
        <f t="shared" si="4"/>
        <v>0.12373391732822325</v>
      </c>
      <c r="D71" s="11"/>
      <c r="E71" s="11"/>
      <c r="F71" s="11"/>
      <c r="G71" s="11"/>
      <c r="H71" s="11"/>
      <c r="I71" s="11"/>
      <c r="J71" s="11"/>
      <c r="K71" s="12">
        <v>45108</v>
      </c>
      <c r="L71" s="13">
        <v>19753.8</v>
      </c>
      <c r="M71" s="18">
        <f t="shared" si="5"/>
        <v>2.9430847280089489E-2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3.8" x14ac:dyDescent="0.25">
      <c r="A72" s="12">
        <v>45139</v>
      </c>
      <c r="B72" s="13">
        <v>217.6</v>
      </c>
      <c r="C72" s="18">
        <f t="shared" si="4"/>
        <v>6.0170523751522431E-2</v>
      </c>
      <c r="D72" s="11"/>
      <c r="E72" s="11"/>
      <c r="F72" s="11"/>
      <c r="G72" s="11"/>
      <c r="H72" s="11"/>
      <c r="I72" s="11"/>
      <c r="J72" s="11"/>
      <c r="K72" s="12">
        <v>45139</v>
      </c>
      <c r="L72" s="13">
        <v>19253.8</v>
      </c>
      <c r="M72" s="18">
        <f t="shared" si="5"/>
        <v>-2.5311585618969512E-2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3.8" x14ac:dyDescent="0.25">
      <c r="A73" s="12">
        <v>45170</v>
      </c>
      <c r="B73" s="13">
        <v>225.4</v>
      </c>
      <c r="C73" s="18">
        <f t="shared" si="4"/>
        <v>3.5845588235294157E-2</v>
      </c>
      <c r="D73" s="11"/>
      <c r="E73" s="11"/>
      <c r="F73" s="11"/>
      <c r="G73" s="11"/>
      <c r="H73" s="11"/>
      <c r="I73" s="11"/>
      <c r="J73" s="11"/>
      <c r="K73" s="12">
        <v>45170</v>
      </c>
      <c r="L73" s="13">
        <v>19638.3</v>
      </c>
      <c r="M73" s="18">
        <f t="shared" si="5"/>
        <v>1.9970083827608009E-2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3.8" x14ac:dyDescent="0.25">
      <c r="A74" s="12">
        <v>45200</v>
      </c>
      <c r="B74" s="13">
        <v>228.05</v>
      </c>
      <c r="C74" s="18">
        <f t="shared" si="4"/>
        <v>1.1756876663709059E-2</v>
      </c>
      <c r="D74" s="11"/>
      <c r="E74" s="11"/>
      <c r="F74" s="11"/>
      <c r="G74" s="11"/>
      <c r="H74" s="11"/>
      <c r="I74" s="11"/>
      <c r="J74" s="11"/>
      <c r="K74" s="12">
        <v>45200</v>
      </c>
      <c r="L74" s="13">
        <v>19079.599999999999</v>
      </c>
      <c r="M74" s="18">
        <f t="shared" si="5"/>
        <v>-2.844950937708457E-2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3.8" x14ac:dyDescent="0.25">
      <c r="A75" s="12">
        <v>45231</v>
      </c>
      <c r="B75" s="13">
        <v>319.55</v>
      </c>
      <c r="C75" s="18">
        <f t="shared" si="4"/>
        <v>0.40122780092085075</v>
      </c>
      <c r="D75" s="11"/>
      <c r="E75" s="11"/>
      <c r="F75" s="11"/>
      <c r="G75" s="11"/>
      <c r="H75" s="11"/>
      <c r="I75" s="11"/>
      <c r="J75" s="11"/>
      <c r="K75" s="12">
        <v>45231</v>
      </c>
      <c r="L75" s="13">
        <v>20133.150000000001</v>
      </c>
      <c r="M75" s="18">
        <f t="shared" si="5"/>
        <v>5.5218662865049728E-2</v>
      </c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3.8" x14ac:dyDescent="0.25">
      <c r="A76" s="12">
        <v>45261</v>
      </c>
      <c r="B76" s="13">
        <v>308.05</v>
      </c>
      <c r="C76" s="18">
        <f t="shared" si="4"/>
        <v>-3.5988108277264952E-2</v>
      </c>
      <c r="D76" s="11"/>
      <c r="E76" s="11"/>
      <c r="F76" s="11"/>
      <c r="G76" s="11"/>
      <c r="H76" s="11"/>
      <c r="I76" s="11"/>
      <c r="J76" s="11"/>
      <c r="K76" s="12">
        <v>45261</v>
      </c>
      <c r="L76" s="13">
        <v>21731.4</v>
      </c>
      <c r="M76" s="18">
        <f t="shared" si="5"/>
        <v>7.9384001013254268E-2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3.8" x14ac:dyDescent="0.25">
      <c r="A77" s="12">
        <v>45292</v>
      </c>
      <c r="B77" s="13">
        <v>376.75</v>
      </c>
      <c r="C77" s="18">
        <f t="shared" si="4"/>
        <v>0.22301574419737058</v>
      </c>
      <c r="D77" s="11"/>
      <c r="E77" s="11"/>
      <c r="F77" s="11"/>
      <c r="G77" s="11"/>
      <c r="H77" s="11"/>
      <c r="I77" s="11"/>
      <c r="J77" s="11"/>
      <c r="K77" s="12">
        <v>45292</v>
      </c>
      <c r="L77" s="13">
        <v>21725.7</v>
      </c>
      <c r="M77" s="18">
        <f t="shared" si="5"/>
        <v>-2.6229327148741266E-4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3.8" x14ac:dyDescent="0.25">
      <c r="A78" s="12">
        <v>45323</v>
      </c>
      <c r="B78" s="13">
        <v>380.1</v>
      </c>
      <c r="C78" s="18">
        <f t="shared" si="4"/>
        <v>8.8918380889184689E-3</v>
      </c>
      <c r="D78" s="11"/>
      <c r="E78" s="11"/>
      <c r="F78" s="11"/>
      <c r="G78" s="11"/>
      <c r="H78" s="11"/>
      <c r="I78" s="11"/>
      <c r="J78" s="11"/>
      <c r="K78" s="12">
        <v>45323</v>
      </c>
      <c r="L78" s="13">
        <v>21982.799999999999</v>
      </c>
      <c r="M78" s="18">
        <f t="shared" si="5"/>
        <v>1.1833910990209695E-2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3.8" x14ac:dyDescent="0.25">
      <c r="A79" s="12">
        <v>45352</v>
      </c>
      <c r="B79" s="13">
        <v>329.75</v>
      </c>
      <c r="C79" s="18">
        <f t="shared" si="4"/>
        <v>-0.13246514075243365</v>
      </c>
      <c r="D79" s="11"/>
      <c r="E79" s="11"/>
      <c r="F79" s="11"/>
      <c r="G79" s="11"/>
      <c r="H79" s="11"/>
      <c r="I79" s="11"/>
      <c r="J79" s="11"/>
      <c r="K79" s="12">
        <v>45352</v>
      </c>
      <c r="L79" s="13">
        <v>22326.9</v>
      </c>
      <c r="M79" s="18">
        <f t="shared" si="5"/>
        <v>1.5653147005840973E-2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3.8" x14ac:dyDescent="0.25">
      <c r="A80" s="12">
        <v>45383</v>
      </c>
      <c r="B80" s="13">
        <v>345.9</v>
      </c>
      <c r="C80" s="18">
        <f t="shared" si="4"/>
        <v>4.8976497346474579E-2</v>
      </c>
      <c r="D80" s="11"/>
      <c r="E80" s="11"/>
      <c r="F80" s="11"/>
      <c r="G80" s="11"/>
      <c r="H80" s="11"/>
      <c r="I80" s="11"/>
      <c r="J80" s="11"/>
      <c r="K80" s="12">
        <v>45383</v>
      </c>
      <c r="L80" s="13">
        <v>22604.85</v>
      </c>
      <c r="M80" s="18">
        <f t="shared" si="5"/>
        <v>1.2449108474530624E-2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3.8" x14ac:dyDescent="0.25">
      <c r="A81" s="15">
        <v>45413</v>
      </c>
      <c r="B81" s="13">
        <v>356.1</v>
      </c>
      <c r="C81" s="18">
        <f t="shared" si="4"/>
        <v>2.9488291413703571E-2</v>
      </c>
      <c r="D81" s="11"/>
      <c r="E81" s="11"/>
      <c r="F81" s="11"/>
      <c r="G81" s="11"/>
      <c r="H81" s="11"/>
      <c r="I81" s="11"/>
      <c r="J81" s="11"/>
      <c r="K81" s="15">
        <v>45413</v>
      </c>
      <c r="L81" s="13">
        <v>22530.7</v>
      </c>
      <c r="M81" s="18">
        <f t="shared" si="5"/>
        <v>-3.2802694996869608E-3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3.8" x14ac:dyDescent="0.25">
      <c r="A82" s="12">
        <v>45444</v>
      </c>
      <c r="B82" s="13">
        <v>378.75</v>
      </c>
      <c r="C82" s="18">
        <f t="shared" si="4"/>
        <v>6.360572872788528E-2</v>
      </c>
      <c r="D82" s="11"/>
      <c r="E82" s="11"/>
      <c r="F82" s="11"/>
      <c r="G82" s="11"/>
      <c r="H82" s="11"/>
      <c r="I82" s="11"/>
      <c r="J82" s="11"/>
      <c r="K82" s="12">
        <v>45444</v>
      </c>
      <c r="L82" s="13">
        <v>24010.6</v>
      </c>
      <c r="M82" s="18">
        <f t="shared" si="5"/>
        <v>6.5683711558007341E-2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3.8" x14ac:dyDescent="0.25">
      <c r="A83" s="12">
        <v>45474</v>
      </c>
      <c r="B83" s="13">
        <v>429.95</v>
      </c>
      <c r="C83" s="18">
        <f t="shared" si="4"/>
        <v>0.13518151815181523</v>
      </c>
      <c r="D83" s="11"/>
      <c r="E83" s="11"/>
      <c r="F83" s="11"/>
      <c r="G83" s="11"/>
      <c r="H83" s="11"/>
      <c r="I83" s="11"/>
      <c r="J83" s="11"/>
      <c r="K83" s="12">
        <v>45474</v>
      </c>
      <c r="L83" s="13">
        <v>24951.15</v>
      </c>
      <c r="M83" s="18">
        <f t="shared" si="5"/>
        <v>3.917228224200997E-2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3.8" x14ac:dyDescent="0.25">
      <c r="A84" s="12">
        <v>45505</v>
      </c>
      <c r="B84" s="13">
        <v>408.8</v>
      </c>
      <c r="C84" s="18">
        <f t="shared" si="4"/>
        <v>-4.9191766484474875E-2</v>
      </c>
      <c r="D84" s="11"/>
      <c r="E84" s="11"/>
      <c r="F84" s="11"/>
      <c r="G84" s="11"/>
      <c r="H84" s="11"/>
      <c r="I84" s="11"/>
      <c r="J84" s="11"/>
      <c r="K84" s="12">
        <v>45505</v>
      </c>
      <c r="L84" s="13">
        <v>25235.9</v>
      </c>
      <c r="M84" s="18">
        <f t="shared" si="5"/>
        <v>1.141229963348378E-2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3.8" x14ac:dyDescent="0.25">
      <c r="A85" s="12">
        <v>45536</v>
      </c>
      <c r="B85" s="13">
        <v>395.6</v>
      </c>
      <c r="C85" s="18">
        <f t="shared" si="4"/>
        <v>-3.2289628180039109E-2</v>
      </c>
      <c r="D85" s="11"/>
      <c r="E85" s="11"/>
      <c r="F85" s="11"/>
      <c r="G85" s="11"/>
      <c r="H85" s="11"/>
      <c r="I85" s="11"/>
      <c r="J85" s="11"/>
      <c r="K85" s="12">
        <v>45536</v>
      </c>
      <c r="L85" s="13">
        <v>25810.85</v>
      </c>
      <c r="M85" s="18">
        <f t="shared" si="5"/>
        <v>2.2783019428670892E-2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3.8" x14ac:dyDescent="0.25">
      <c r="A86" s="12">
        <v>45566</v>
      </c>
      <c r="B86" s="13">
        <v>369.2</v>
      </c>
      <c r="C86" s="18">
        <f t="shared" si="4"/>
        <v>-6.6734074823053713E-2</v>
      </c>
      <c r="D86" s="11"/>
      <c r="E86" s="11"/>
      <c r="F86" s="11"/>
      <c r="G86" s="11"/>
      <c r="H86" s="11"/>
      <c r="I86" s="11"/>
      <c r="J86" s="11"/>
      <c r="K86" s="12">
        <v>45566</v>
      </c>
      <c r="L86" s="13">
        <v>24205.35</v>
      </c>
      <c r="M86" s="18">
        <f t="shared" si="5"/>
        <v>-6.2202523357425266E-2</v>
      </c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3.8" x14ac:dyDescent="0.25">
      <c r="A87" s="12">
        <v>45597</v>
      </c>
      <c r="B87" s="13">
        <v>399.6</v>
      </c>
      <c r="C87" s="18">
        <f t="shared" si="4"/>
        <v>8.234019501625145E-2</v>
      </c>
      <c r="D87" s="11"/>
      <c r="E87" s="11"/>
      <c r="F87" s="11"/>
      <c r="G87" s="11"/>
      <c r="H87" s="11"/>
      <c r="I87" s="11"/>
      <c r="J87" s="11"/>
      <c r="K87" s="12">
        <v>45597</v>
      </c>
      <c r="L87" s="13">
        <v>24131.1</v>
      </c>
      <c r="M87" s="18">
        <f t="shared" si="5"/>
        <v>-3.0675036717089377E-3</v>
      </c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3.8" x14ac:dyDescent="0.25">
      <c r="A88" s="12">
        <v>45627</v>
      </c>
      <c r="B88" s="13">
        <v>444.25</v>
      </c>
      <c r="C88" s="18">
        <f t="shared" si="4"/>
        <v>0.11173673673673656</v>
      </c>
      <c r="D88" s="11"/>
      <c r="E88" s="11"/>
      <c r="F88" s="11"/>
      <c r="G88" s="11"/>
      <c r="H88" s="11"/>
      <c r="I88" s="11"/>
      <c r="J88" s="11"/>
      <c r="K88" s="12">
        <v>45627</v>
      </c>
      <c r="L88" s="13">
        <v>23644.799999999999</v>
      </c>
      <c r="M88" s="18">
        <f t="shared" si="5"/>
        <v>-2.0152417419844082E-2</v>
      </c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3.8" x14ac:dyDescent="0.25">
      <c r="A89" s="12">
        <v>45658</v>
      </c>
      <c r="B89" s="13">
        <v>411.45</v>
      </c>
      <c r="C89" s="18">
        <f t="shared" si="4"/>
        <v>-7.383230163196397E-2</v>
      </c>
      <c r="D89" s="11"/>
      <c r="E89" s="11"/>
      <c r="F89" s="11"/>
      <c r="G89" s="11"/>
      <c r="H89" s="11"/>
      <c r="I89" s="11"/>
      <c r="J89" s="11"/>
      <c r="K89" s="12">
        <v>45658</v>
      </c>
      <c r="L89" s="13">
        <v>23508.400000000001</v>
      </c>
      <c r="M89" s="18">
        <f t="shared" si="5"/>
        <v>-5.7687102449586192E-3</v>
      </c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3.8" x14ac:dyDescent="0.25">
      <c r="A90" s="12">
        <v>45689</v>
      </c>
      <c r="B90" s="13">
        <v>368.9</v>
      </c>
      <c r="C90" s="18">
        <f t="shared" si="4"/>
        <v>-0.10341475270385225</v>
      </c>
      <c r="D90" s="11"/>
      <c r="E90" s="11"/>
      <c r="F90" s="11"/>
      <c r="G90" s="11"/>
      <c r="H90" s="11"/>
      <c r="I90" s="11"/>
      <c r="J90" s="11"/>
      <c r="K90" s="12">
        <v>45689</v>
      </c>
      <c r="L90" s="13">
        <v>22124.7</v>
      </c>
      <c r="M90" s="18">
        <f t="shared" si="5"/>
        <v>-5.8859811811948104E-2</v>
      </c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3.8" x14ac:dyDescent="0.25">
      <c r="A91" s="12">
        <v>45717</v>
      </c>
      <c r="B91" s="13">
        <v>421.1</v>
      </c>
      <c r="C91" s="18">
        <f t="shared" si="4"/>
        <v>0.14150176199512066</v>
      </c>
      <c r="D91" s="11"/>
      <c r="E91" s="11"/>
      <c r="F91" s="11"/>
      <c r="G91" s="11"/>
      <c r="H91" s="11"/>
      <c r="I91" s="11"/>
      <c r="J91" s="11"/>
      <c r="K91" s="12">
        <v>45717</v>
      </c>
      <c r="L91" s="13">
        <v>23519.35</v>
      </c>
      <c r="M91" s="18">
        <f t="shared" si="5"/>
        <v>6.3035882972424462E-2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3.8" x14ac:dyDescent="0.25">
      <c r="A92" s="12">
        <v>45748</v>
      </c>
      <c r="B92" s="13">
        <v>417.15</v>
      </c>
      <c r="C92" s="18">
        <f t="shared" si="4"/>
        <v>-9.3801947280931497E-3</v>
      </c>
      <c r="D92" s="11"/>
      <c r="E92" s="11"/>
      <c r="F92" s="11"/>
      <c r="G92" s="11"/>
      <c r="H92" s="11"/>
      <c r="I92" s="11"/>
      <c r="J92" s="11"/>
      <c r="K92" s="12">
        <v>45748</v>
      </c>
      <c r="L92" s="13">
        <v>24334.2</v>
      </c>
      <c r="M92" s="18">
        <f t="shared" si="5"/>
        <v>3.4645940470293679E-2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3.8" x14ac:dyDescent="0.25">
      <c r="A93" s="15">
        <v>45778</v>
      </c>
      <c r="B93" s="13">
        <v>411.6</v>
      </c>
      <c r="C93" s="18">
        <f t="shared" si="4"/>
        <v>-1.3304566702624809E-2</v>
      </c>
      <c r="D93" s="11"/>
      <c r="E93" s="11"/>
      <c r="F93" s="11"/>
      <c r="G93" s="11"/>
      <c r="H93" s="11"/>
      <c r="I93" s="11"/>
      <c r="J93" s="11"/>
      <c r="K93" s="15">
        <v>45778</v>
      </c>
      <c r="L93" s="13">
        <v>24750.7</v>
      </c>
      <c r="M93" s="18">
        <f t="shared" si="5"/>
        <v>1.7115828751304685E-2</v>
      </c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3.8" x14ac:dyDescent="0.25">
      <c r="A94" s="12">
        <v>45809</v>
      </c>
      <c r="B94" s="13">
        <v>385.15</v>
      </c>
      <c r="C94" s="18">
        <f t="shared" si="4"/>
        <v>-6.4261418853255647E-2</v>
      </c>
      <c r="D94" s="11"/>
      <c r="E94" s="11"/>
      <c r="F94" s="11"/>
      <c r="G94" s="11"/>
      <c r="H94" s="11"/>
      <c r="I94" s="11"/>
      <c r="J94" s="11"/>
      <c r="K94" s="12">
        <v>45809</v>
      </c>
      <c r="L94" s="13">
        <v>25517.05</v>
      </c>
      <c r="M94" s="18">
        <f t="shared" si="5"/>
        <v>3.0962760649193788E-2</v>
      </c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3.8" x14ac:dyDescent="0.25">
      <c r="A95" s="12">
        <v>45839</v>
      </c>
      <c r="B95" s="13">
        <v>392.15</v>
      </c>
      <c r="C95" s="18">
        <f t="shared" si="4"/>
        <v>1.8174737115409512E-2</v>
      </c>
      <c r="D95" s="11"/>
      <c r="E95" s="11"/>
      <c r="F95" s="11"/>
      <c r="G95" s="11"/>
      <c r="H95" s="11"/>
      <c r="I95" s="11"/>
      <c r="J95" s="11"/>
      <c r="K95" s="12">
        <v>45839</v>
      </c>
      <c r="L95" s="13">
        <v>24768.35</v>
      </c>
      <c r="M95" s="18">
        <f t="shared" si="5"/>
        <v>-2.9341166004691055E-2</v>
      </c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3.8" x14ac:dyDescent="0.25">
      <c r="A96" s="12">
        <v>45870</v>
      </c>
      <c r="B96" s="13">
        <v>363.65</v>
      </c>
      <c r="C96" s="18">
        <f t="shared" si="4"/>
        <v>-7.2676271834757111E-2</v>
      </c>
      <c r="D96" s="11"/>
      <c r="E96" s="11"/>
      <c r="F96" s="11"/>
      <c r="G96" s="11"/>
      <c r="H96" s="11"/>
      <c r="I96" s="11"/>
      <c r="J96" s="11"/>
      <c r="K96" s="12">
        <v>45870</v>
      </c>
      <c r="L96" s="13">
        <v>24426.85</v>
      </c>
      <c r="M96" s="18">
        <f t="shared" si="5"/>
        <v>-1.3787757359694952E-2</v>
      </c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3.8" x14ac:dyDescent="0.25">
      <c r="A97" s="12">
        <v>45901</v>
      </c>
      <c r="B97" s="13">
        <v>368.65</v>
      </c>
      <c r="C97" s="18">
        <f t="shared" si="4"/>
        <v>1.3749484394335321E-2</v>
      </c>
      <c r="D97" s="11"/>
      <c r="E97" s="11"/>
      <c r="F97" s="11"/>
      <c r="G97" s="11"/>
      <c r="H97" s="11"/>
      <c r="I97" s="11"/>
      <c r="J97" s="11"/>
      <c r="K97" s="12">
        <v>45901</v>
      </c>
      <c r="L97" s="13">
        <v>24611.1</v>
      </c>
      <c r="M97" s="18">
        <f t="shared" si="5"/>
        <v>7.5429291947182175E-3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3.8" x14ac:dyDescent="0.25">
      <c r="A98" s="12">
        <v>45931</v>
      </c>
      <c r="B98" s="13">
        <v>374.2</v>
      </c>
      <c r="C98" s="18">
        <f t="shared" si="4"/>
        <v>1.5054930150549373E-2</v>
      </c>
      <c r="D98" s="11"/>
      <c r="E98" s="11"/>
      <c r="F98" s="11"/>
      <c r="G98" s="11"/>
      <c r="H98" s="11"/>
      <c r="I98" s="11"/>
      <c r="J98" s="11"/>
      <c r="K98" s="12">
        <v>45931</v>
      </c>
      <c r="L98" s="13">
        <v>25722.1</v>
      </c>
      <c r="M98" s="18">
        <f t="shared" si="5"/>
        <v>4.5142232569856722E-2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3.8" x14ac:dyDescent="0.25">
      <c r="A99" s="12">
        <v>45962</v>
      </c>
      <c r="B99" s="13">
        <v>387.2</v>
      </c>
      <c r="C99" s="18">
        <f t="shared" ref="C99:C130" si="6">B99/B98-1</f>
        <v>3.4740780331373511E-2</v>
      </c>
      <c r="D99" s="11"/>
      <c r="E99" s="11"/>
      <c r="F99" s="11"/>
      <c r="G99" s="11"/>
      <c r="H99" s="11"/>
      <c r="I99" s="11"/>
      <c r="J99" s="11"/>
      <c r="K99" s="12">
        <v>45962</v>
      </c>
      <c r="L99" s="13">
        <v>26202.95</v>
      </c>
      <c r="M99" s="18">
        <f t="shared" ref="M99:M130" si="7">L99/L98-1</f>
        <v>1.8694041310779452E-2</v>
      </c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3.8" x14ac:dyDescent="0.25">
      <c r="A100" s="12">
        <v>45992</v>
      </c>
      <c r="B100" s="13">
        <v>380.8</v>
      </c>
      <c r="C100" s="18">
        <f t="shared" si="6"/>
        <v>-1.6528925619834656E-2</v>
      </c>
      <c r="D100" s="11"/>
      <c r="E100" s="11"/>
      <c r="F100" s="11"/>
      <c r="G100" s="11"/>
      <c r="H100" s="11"/>
      <c r="I100" s="11"/>
      <c r="J100" s="11"/>
      <c r="K100" s="12">
        <v>45992</v>
      </c>
      <c r="L100" s="13">
        <v>26129.599999999999</v>
      </c>
      <c r="M100" s="18">
        <f t="shared" si="7"/>
        <v>-2.7993031318993555E-3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3.8" x14ac:dyDescent="0.25">
      <c r="A101" s="12">
        <v>46023</v>
      </c>
      <c r="B101" s="13">
        <v>378.05</v>
      </c>
      <c r="C101" s="18">
        <f t="shared" si="6"/>
        <v>-7.2216386554622147E-3</v>
      </c>
      <c r="D101" s="11"/>
      <c r="E101" s="11"/>
      <c r="F101" s="11"/>
      <c r="G101" s="11"/>
      <c r="H101" s="11"/>
      <c r="I101" s="11"/>
      <c r="J101" s="11"/>
      <c r="K101" s="12">
        <v>46023</v>
      </c>
      <c r="L101" s="13">
        <v>25320.65</v>
      </c>
      <c r="M101" s="18">
        <f t="shared" si="7"/>
        <v>-3.0959142122343852E-2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3.8" x14ac:dyDescent="0.25">
      <c r="A102" s="12">
        <v>46054</v>
      </c>
      <c r="B102" s="13">
        <v>383.05</v>
      </c>
      <c r="C102" s="18">
        <f t="shared" si="6"/>
        <v>1.322576378785878E-2</v>
      </c>
      <c r="D102" s="11"/>
      <c r="E102" s="11"/>
      <c r="F102" s="11"/>
      <c r="G102" s="11"/>
      <c r="H102" s="11"/>
      <c r="I102" s="11"/>
      <c r="J102" s="11"/>
      <c r="K102" s="12">
        <v>46054</v>
      </c>
      <c r="L102" s="13">
        <v>25178.65</v>
      </c>
      <c r="M102" s="18">
        <f t="shared" si="7"/>
        <v>-5.6080708828565307E-3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3.8" x14ac:dyDescent="0.25">
      <c r="A103" s="12">
        <v>46082</v>
      </c>
      <c r="B103" s="13">
        <v>362.95</v>
      </c>
      <c r="C103" s="18">
        <f t="shared" si="6"/>
        <v>-5.2473567419397016E-2</v>
      </c>
      <c r="D103" s="11"/>
      <c r="E103" s="11"/>
      <c r="F103" s="11"/>
      <c r="G103" s="11"/>
      <c r="H103" s="11"/>
      <c r="I103" s="11"/>
      <c r="J103" s="11"/>
      <c r="K103" s="12">
        <v>46082</v>
      </c>
      <c r="L103" s="13">
        <v>22331.4</v>
      </c>
      <c r="M103" s="18">
        <f t="shared" si="7"/>
        <v>-0.11308191662380629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3.8" x14ac:dyDescent="0.25">
      <c r="A104" s="12">
        <v>46113</v>
      </c>
      <c r="B104" s="13">
        <v>393.4</v>
      </c>
      <c r="C104" s="18">
        <f t="shared" si="6"/>
        <v>8.3895853423336497E-2</v>
      </c>
      <c r="D104" s="11"/>
      <c r="E104" s="11"/>
      <c r="F104" s="11"/>
      <c r="G104" s="11"/>
      <c r="H104" s="11"/>
      <c r="I104" s="11"/>
      <c r="J104" s="11"/>
      <c r="K104" s="12">
        <v>46113</v>
      </c>
      <c r="L104" s="13">
        <v>23997.55</v>
      </c>
      <c r="M104" s="18">
        <f t="shared" si="7"/>
        <v>7.4610190135862453E-2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3.8" x14ac:dyDescent="0.25">
      <c r="A105" s="15">
        <v>46143</v>
      </c>
      <c r="B105" s="13">
        <v>381.25</v>
      </c>
      <c r="C105" s="18">
        <f t="shared" si="6"/>
        <v>-3.0884595831214945E-2</v>
      </c>
      <c r="D105" s="11"/>
      <c r="E105" s="11"/>
      <c r="F105" s="11"/>
      <c r="G105" s="11"/>
      <c r="H105" s="11"/>
      <c r="I105" s="11"/>
      <c r="J105" s="11"/>
      <c r="K105" s="15">
        <v>46143</v>
      </c>
      <c r="L105" s="13">
        <v>23547.75</v>
      </c>
      <c r="M105" s="18">
        <f t="shared" si="7"/>
        <v>-1.8743580073799171E-2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3.8" x14ac:dyDescent="0.25">
      <c r="A106" s="12">
        <v>46174</v>
      </c>
      <c r="B106" s="13">
        <v>363.5</v>
      </c>
      <c r="C106" s="18">
        <f t="shared" si="6"/>
        <v>-4.6557377049180282E-2</v>
      </c>
      <c r="D106" s="11"/>
      <c r="E106" s="11"/>
      <c r="F106" s="11"/>
      <c r="G106" s="11"/>
      <c r="H106" s="11"/>
      <c r="I106" s="11"/>
      <c r="J106" s="11"/>
      <c r="K106" s="12">
        <v>46174</v>
      </c>
      <c r="L106" s="13">
        <v>23382.6</v>
      </c>
      <c r="M106" s="18">
        <f t="shared" si="7"/>
        <v>-7.0134089244195952E-3</v>
      </c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3.8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3.8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3.8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3.8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3.8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3.8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3.8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3.8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3.8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3.8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3.8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3.8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3.8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3.8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3.8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3.8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3.8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3.8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3.8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3.8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3.8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3.8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3.8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3.8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3.8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3.8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3.8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3.8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3.8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3.8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3.8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3.8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3.8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3.8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3.8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3.8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3.8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3.8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3.8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3.8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3.8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3.8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3.8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3.8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3.8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3.8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3.8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3.8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3.8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3.8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3.8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3.8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3.8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3.8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3.8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3.8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3.8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3.8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3.8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3.8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3.8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3.8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3.8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3.8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3.8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3.8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3.8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3.8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3.8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3.8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3.8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3.8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3.8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3.8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3.8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3.8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3.8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3.8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3.8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3.8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3.8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3.8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3.8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3.8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3.8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3.8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3.8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3.8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3.8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3.8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3.8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3.8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3.8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3.8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3.8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3.8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3.8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3.8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3.8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3.8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3.8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3.8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3.8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3.8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3.8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3.8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3.8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3.8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3.8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3.8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3.8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3.8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3.8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3.8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3.8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3.8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3.8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3.8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3.8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3.8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3.8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3.8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3.8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3.8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3.8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3.8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3.8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3.8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3.8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3.8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3.8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3.8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3.8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3.8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3.8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3.8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3.8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3.8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3.8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3.8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3.8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3.8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3.8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3.8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3.8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3.8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3.8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3.8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3.8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3.8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3.8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3.8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3.8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3.8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3.8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3.8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3.8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3.8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3.8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3.8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3.8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3.8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3.8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3.8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3.8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3.8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3.8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3.8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3.8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3.8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3.8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3.8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3.8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3.8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3.8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3.8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3.8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3.8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3.8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3.8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3.8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3.8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3.8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3.8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3.8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3.8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3.8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3.8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3.8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3.8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3.8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3.8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3.8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3.8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3.8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3.8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3.8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3.8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3.8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3.8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3.8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3.8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3.8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3.8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3.8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3.8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3.8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3.8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3.8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3.8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3.8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3.8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3.8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3.8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3.8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3.8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3.8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3.8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3.8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3.8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3.8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3.8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3.8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3.8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3.8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3.8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3.8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3.8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3.8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3.8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3.8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3.8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3.8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3.8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3.8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3.8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3.8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3.8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3.8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3.8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3.8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3.8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3.8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3.8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3.8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3.8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3.8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3.8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3.8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3.8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3.8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3.8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3.8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3.8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3.8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3.8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3.8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3.8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3.8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3.8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3.8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3.8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3.8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3.8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3.8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3.8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3.8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3.8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3.8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3.8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3.8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3.8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3.8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3.8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3.8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3.8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3.8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3.8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3.8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3.8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3.8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3.8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3.8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3.8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3.8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3.8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3.8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3.8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3.8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3.8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3.8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3.8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3.8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3.8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3.8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3.8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3.8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3.8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3.8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3.8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3.8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3.8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3.8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3.8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3.8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3.8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3.8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3.8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3.8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3.8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3.8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3.8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3.8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3.8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3.8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3.8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3.8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3.8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3.8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3.8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3.8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3.8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3.8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3.8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3.8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3.8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3.8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3.8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3.8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3.8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3.8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3.8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3.8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3.8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3.8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3.8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3.8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3.8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3.8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3.8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3.8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3.8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3.8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3.8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3.8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3.8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3.8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3.8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3.8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3.8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3.8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3.8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3.8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3.8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3.8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3.8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3.8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3.8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3.8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3.8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3.8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3.8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3.8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3.8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3.8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3.8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3.8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3.8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3.8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3.8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3.8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3.8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3.8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3.8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3.8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3.8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3.8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3.8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3.8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3.8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3.8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3.8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3.8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3.8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3.8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3.8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3.8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3.8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3.8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3.8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3.8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3.8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3.8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3.8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3.8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3.8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3.8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3.8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3.8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3.8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3.8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3.8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3.8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3.8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3.8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3.8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3.8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3.8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3.8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3.8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3.8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3.8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3.8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3.8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3.8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3.8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3.8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3.8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3.8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3.8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3.8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3.8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3.8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3.8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3.8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3.8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3.8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3.8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3.8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3.8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3.8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3.8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3.8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3.8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3.8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3.8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3.8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3.8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3.8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3.8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3.8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3.8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3.8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3.8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3.8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3.8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3.8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3.8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3.8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3.8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3.8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3.8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3.8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3.8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3.8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3.8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3.8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3.8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3.8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3.8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3.8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3.8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3.8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3.8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3.8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3.8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3.8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3.8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3.8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3.8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3.8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3.8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3.8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3.8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3.8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3.8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3.8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3.8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3.8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3.8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3.8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3.8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3.8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3.8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3.8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3.8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3.8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3.8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3.8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3.8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3.8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3.8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3.8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3.8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3.8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3.8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3.8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3.8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3.8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3.8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3.8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3.8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3.8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3.8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3.8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3.8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3.8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3.8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3.8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3.8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3.8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3.8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3.8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3.8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3.8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3.8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3.8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3.8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3.8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3.8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3.8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3.8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3.8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3.8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3.8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3.8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3.8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3.8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3.8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3.8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3.8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3.8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3.8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3.8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3.8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3.8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3.8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3.8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3.8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3.8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3.8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3.8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3.8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3.8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3.8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3.8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3.8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3.8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3.8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3.8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3.8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3.8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3.8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3.8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3.8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3.8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3.8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3.8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3.8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3.8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3.8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3.8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3.8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3.8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3.8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3.8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3.8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3.8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3.8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3.8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3.8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3.8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3.8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3.8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3.8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3.8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3.8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3.8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3.8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3.8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3.8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3.8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3.8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3.8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3.8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3.8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3.8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3.8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3.8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3.8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3.8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3.8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3.8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3.8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3.8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3.8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3.8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3.8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3.8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3.8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3.8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3.8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3.8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3.8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3.8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3.8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3.8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3.8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3.8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3.8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3.8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3.8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3.8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3.8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3.8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3.8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3.8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3.8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3.8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3.8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3.8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3.8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3.8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3.8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3.8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3.8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3.8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3.8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3.8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3.8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3.8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3.8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3.8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3.8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3.8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3.8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3.8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3.8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3.8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3.8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3.8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3.8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3.8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3.8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3.8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3.8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3.8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3.8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3.8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3.8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3.8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3.8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3.8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3.8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3.8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3.8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3.8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3.8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3.8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3.8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3.8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3.8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3.8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3.8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3.8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3.8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3.8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3.8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3.8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3.8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3.8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3.8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3.8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3.8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3.8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3.8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3.8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3.8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3.8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3.8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3.8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3.8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3.8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3.8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3.8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3.8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3.8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3.8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3.8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3.8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3.8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3.8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3.8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3.8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3.8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3.8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3.8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3.8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3.8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3.8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3.8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3.8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3.8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3.8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3.8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3.8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3.8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3.8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3.8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3.8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3.8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3.8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3.8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3.8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3.8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3.8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3.8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3.8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3.8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3.8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3.8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3.8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3.8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3.8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3.8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3.8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3.8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3.8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3.8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3.8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3.8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3.8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3.8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3.8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3.8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3.8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3.8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3.8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3.8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3.8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3.8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3.8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3.8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3.8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3.8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3.8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3.8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3.8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3.8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3.8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3.8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3.8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3.8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3.8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3.8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3.8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3.8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3.8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3.8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3.8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3.8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3.8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3.8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3.8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3.8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3.8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3.8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3.8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3.8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3.8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3.8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3.8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3.8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3.8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3.8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3.8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3.8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3.8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3.8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3.8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3.8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3.8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3.8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3.8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3.8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3.8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3.8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3.8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3.8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3.8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3.8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3.8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3.8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3.8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3.8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3.8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3.8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3.8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3.8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3.8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3.8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3.8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3.8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3.8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3.8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3.8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3.8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3.8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3.8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3.8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3.8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3.8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3.8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3.8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3.8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3.8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3.8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3.8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3.8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3.8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3.8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3.8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3.8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3.8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3.8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3.8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3.8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3.8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3.8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3.8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3.8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3.8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3.8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3.8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3.8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3.8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3.8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3.8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3.8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3.8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3.8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3.8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3.8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3.8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3.8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3.8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3.8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3.8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3.8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3.8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3.8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3.8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3.8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3.8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3.8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3.8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3.8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3.8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3.8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3.8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3.8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3.8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3.8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3.8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3.8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3.8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3.8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3.8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3.8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3.8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3.8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3.8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3.8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3.8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3.8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3.8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3.8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3.8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3.8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3.8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3.8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3.8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3.8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3.8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3.8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3.8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3.8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3.8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3.8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3.8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3.8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3.8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3.8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3.8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3.8" x14ac:dyDescent="0.2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3.8" x14ac:dyDescent="0.25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3.8" x14ac:dyDescent="0.25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3.8" x14ac:dyDescent="0.25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3.8" x14ac:dyDescent="0.2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 ht="13.8" x14ac:dyDescent="0.25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 ht="13.8" x14ac:dyDescent="0.25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spans="1:26" ht="13.8" x14ac:dyDescent="0.25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1:26" ht="13.8" x14ac:dyDescent="0.25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spans="1:26" ht="13.8" x14ac:dyDescent="0.25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spans="1:26" ht="13.8" x14ac:dyDescent="0.25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spans="1:26" ht="13.8" x14ac:dyDescent="0.25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spans="1:26" ht="13.8" x14ac:dyDescent="0.25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spans="1:26" ht="13.8" x14ac:dyDescent="0.25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spans="1:26" ht="13.8" x14ac:dyDescent="0.2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spans="1:26" ht="13.8" x14ac:dyDescent="0.25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spans="1:26" ht="13.8" x14ac:dyDescent="0.25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spans="1:26" ht="13.8" x14ac:dyDescent="0.25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spans="1:26" ht="13.8" x14ac:dyDescent="0.25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spans="1:26" ht="13.8" x14ac:dyDescent="0.25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spans="1:26" ht="13.8" x14ac:dyDescent="0.25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spans="1:26" ht="13.8" x14ac:dyDescent="0.25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spans="1:26" ht="13.8" x14ac:dyDescent="0.25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spans="1:26" ht="13.8" x14ac:dyDescent="0.25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spans="1:26" ht="13.8" x14ac:dyDescent="0.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spans="1:26" ht="13.8" x14ac:dyDescent="0.25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spans="1:26" ht="13.8" x14ac:dyDescent="0.25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spans="1:26" ht="13.8" x14ac:dyDescent="0.25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spans="1:26" ht="13.8" x14ac:dyDescent="0.25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spans="1:26" ht="13.8" x14ac:dyDescent="0.25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spans="1:26" ht="13.8" x14ac:dyDescent="0.25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spans="1:26" ht="13.8" x14ac:dyDescent="0.25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spans="1:26" ht="13.8" x14ac:dyDescent="0.25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spans="1:26" ht="13.8" x14ac:dyDescent="0.25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spans="1:26" ht="13.8" x14ac:dyDescent="0.25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spans="1:26" ht="13.8" x14ac:dyDescent="0.25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spans="1:26" ht="13.8" x14ac:dyDescent="0.25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spans="1:26" ht="13.8" x14ac:dyDescent="0.25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spans="1:26" ht="13.8" x14ac:dyDescent="0.25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spans="1:26" ht="13.8" x14ac:dyDescent="0.25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spans="1:26" ht="13.8" x14ac:dyDescent="0.25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spans="1:26" ht="13.8" x14ac:dyDescent="0.25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spans="1:26" ht="13.8" x14ac:dyDescent="0.25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spans="1:26" ht="13.8" x14ac:dyDescent="0.25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spans="1:26" ht="13.8" x14ac:dyDescent="0.25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spans="1:26" ht="13.8" x14ac:dyDescent="0.25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spans="1:26" ht="13.8" x14ac:dyDescent="0.25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spans="1:26" ht="13.8" x14ac:dyDescent="0.25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spans="1:26" ht="13.8" x14ac:dyDescent="0.25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spans="1:26" ht="13.8" x14ac:dyDescent="0.25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spans="1:26" ht="13.8" x14ac:dyDescent="0.25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spans="1:26" ht="13.8" x14ac:dyDescent="0.25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spans="1:26" ht="13.8" x14ac:dyDescent="0.25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spans="1:26" ht="13.8" x14ac:dyDescent="0.25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spans="1:26" ht="13.8" x14ac:dyDescent="0.25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spans="1:26" ht="13.8" x14ac:dyDescent="0.25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spans="1:26" ht="13.8" x14ac:dyDescent="0.25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spans="1:26" ht="13.8" x14ac:dyDescent="0.25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spans="1:26" ht="13.8" x14ac:dyDescent="0.25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spans="1:26" ht="13.8" x14ac:dyDescent="0.25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spans="1:26" ht="13.8" x14ac:dyDescent="0.25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spans="1:26" ht="13.8" x14ac:dyDescent="0.25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 spans="1:26" ht="13.8" x14ac:dyDescent="0.25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spans="1:26" ht="13.8" x14ac:dyDescent="0.25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spans="1:26" ht="13.8" x14ac:dyDescent="0.25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spans="1:26" ht="13.8" x14ac:dyDescent="0.25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spans="1:26" ht="13.8" x14ac:dyDescent="0.25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 spans="1:26" ht="13.8" x14ac:dyDescent="0.25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spans="1:26" ht="13.8" x14ac:dyDescent="0.25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spans="1:26" ht="13.8" x14ac:dyDescent="0.25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 spans="1:26" ht="13.8" x14ac:dyDescent="0.25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spans="1:26" ht="13.8" x14ac:dyDescent="0.25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 spans="1:26" ht="13.8" x14ac:dyDescent="0.25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spans="1:26" ht="13.8" x14ac:dyDescent="0.25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 spans="1:26" ht="13.8" x14ac:dyDescent="0.25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spans="1:26" ht="13.8" x14ac:dyDescent="0.25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spans="1:26" ht="13.8" x14ac:dyDescent="0.25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spans="1:26" ht="13.8" x14ac:dyDescent="0.25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 spans="1:26" ht="13.8" x14ac:dyDescent="0.25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 spans="1:26" ht="13.8" x14ac:dyDescent="0.25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spans="1:26" ht="13.8" x14ac:dyDescent="0.25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 spans="1:26" ht="13.8" x14ac:dyDescent="0.25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 spans="1:26" ht="13.8" x14ac:dyDescent="0.25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 spans="1:26" ht="13.8" x14ac:dyDescent="0.25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spans="1:26" ht="13.8" x14ac:dyDescent="0.25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 spans="1:26" ht="13.8" x14ac:dyDescent="0.25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 spans="1:26" ht="13.8" x14ac:dyDescent="0.25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 spans="1:26" ht="13.8" x14ac:dyDescent="0.25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spans="1:26" ht="13.8" x14ac:dyDescent="0.25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 spans="1:26" ht="13.8" x14ac:dyDescent="0.25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 spans="1:26" ht="13.8" x14ac:dyDescent="0.25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spans="1:26" ht="13.8" x14ac:dyDescent="0.25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 spans="1:26" ht="13.8" x14ac:dyDescent="0.25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 spans="1:26" ht="13.8" x14ac:dyDescent="0.25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 spans="1:26" ht="13.8" x14ac:dyDescent="0.25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 spans="1:26" ht="13.8" x14ac:dyDescent="0.25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 spans="1:26" ht="13.8" x14ac:dyDescent="0.25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 spans="1:26" ht="13.8" x14ac:dyDescent="0.25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  <row r="1099" spans="1:26" ht="13.8" x14ac:dyDescent="0.25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 spans="1:26" ht="13.8" x14ac:dyDescent="0.25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 spans="1:26" ht="13.8" x14ac:dyDescent="0.25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 spans="1:26" ht="13.8" x14ac:dyDescent="0.25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 spans="1:26" ht="13.8" x14ac:dyDescent="0.25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 spans="1:26" ht="13.8" x14ac:dyDescent="0.25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</row>
    <row r="1105" spans="1:26" ht="13.8" x14ac:dyDescent="0.25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</row>
    <row r="1106" spans="1:26" ht="13.8" x14ac:dyDescent="0.25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048576" ht="15.75" customHeight="1" x14ac:dyDescent="0.25"/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0"/>
  <sheetViews>
    <sheetView topLeftCell="A38" zoomScaleNormal="100" workbookViewId="0">
      <selection activeCell="A52" sqref="A52:D62"/>
    </sheetView>
  </sheetViews>
  <sheetFormatPr defaultColWidth="12.6640625" defaultRowHeight="13.2" x14ac:dyDescent="0.25"/>
  <cols>
    <col min="1" max="1" width="26" bestFit="1" customWidth="1"/>
    <col min="2" max="2" width="14.88671875" bestFit="1" customWidth="1"/>
    <col min="3" max="3" width="19.109375" bestFit="1" customWidth="1"/>
    <col min="4" max="4" width="20" bestFit="1" customWidth="1"/>
    <col min="5" max="5" width="9.6640625" bestFit="1" customWidth="1"/>
  </cols>
  <sheetData>
    <row r="1" spans="1:22" ht="13.8" x14ac:dyDescent="0.25">
      <c r="A1" s="13" t="s">
        <v>35</v>
      </c>
      <c r="B1" s="14">
        <v>0.06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13.8" x14ac:dyDescent="0.25">
      <c r="A2" s="13" t="s">
        <v>36</v>
      </c>
      <c r="B2" s="23">
        <v>1000000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13.8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13.8" x14ac:dyDescent="0.25">
      <c r="A4" s="24" t="s">
        <v>37</v>
      </c>
      <c r="B4" s="24" t="s">
        <v>38</v>
      </c>
      <c r="C4" s="24" t="s">
        <v>9</v>
      </c>
      <c r="D4" s="24" t="s">
        <v>8</v>
      </c>
      <c r="E4" s="24" t="s">
        <v>39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13.8" x14ac:dyDescent="0.25">
      <c r="A5" s="75" t="s">
        <v>23</v>
      </c>
      <c r="B5" s="76">
        <f>AVERAGE('Monthly Price &amp; Return Data'!C3:C106)</f>
        <v>1.1310284151969162E-2</v>
      </c>
      <c r="C5" s="76">
        <f>AVERAGE('Monthly Price &amp; Return Data'!E3:E106)</f>
        <v>6.2215480759289753E-3</v>
      </c>
      <c r="D5" s="76">
        <f>AVERAGE('Monthly Price &amp; Return Data'!G3:G106)</f>
        <v>1.2357146587978417E-2</v>
      </c>
      <c r="E5" s="77">
        <f>AVERAGE('Monthly Price &amp; Return Data'!I3:I106)</f>
        <v>9.0943659653324443E-3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13.8" x14ac:dyDescent="0.25">
      <c r="A6" s="75" t="s">
        <v>40</v>
      </c>
      <c r="B6" s="76">
        <f>B5*12</f>
        <v>0.13572340982362993</v>
      </c>
      <c r="C6" s="76">
        <f>C5*12</f>
        <v>7.4658576911147703E-2</v>
      </c>
      <c r="D6" s="76">
        <f>D5*12</f>
        <v>0.14828575905574101</v>
      </c>
      <c r="E6" s="77">
        <f>E5*12</f>
        <v>0.10913239158398932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13.8" x14ac:dyDescent="0.25">
      <c r="A7" s="75" t="s">
        <v>27</v>
      </c>
      <c r="B7" s="76">
        <f>STDEV('Monthly Price &amp; Return Data'!C3:C106)</f>
        <v>6.6280758182647087E-2</v>
      </c>
      <c r="C7" s="76">
        <f>STDEV('Monthly Price &amp; Return Data'!E3:E106)</f>
        <v>0.1280376095666397</v>
      </c>
      <c r="D7" s="76">
        <f>STDEV('Monthly Price &amp; Return Data'!G3:G106)</f>
        <v>7.4865308694383723E-2</v>
      </c>
      <c r="E7" s="77">
        <f>STDEV('Monthly Price &amp; Return Data'!I3:I106)</f>
        <v>4.8752930451498547E-2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3.8" x14ac:dyDescent="0.25">
      <c r="A8" s="75" t="s">
        <v>41</v>
      </c>
      <c r="B8" s="76">
        <f>B7*SQRT(12)</f>
        <v>0.22960328147306269</v>
      </c>
      <c r="C8" s="76">
        <f>C7*SQRT(12)</f>
        <v>0.44353529009817377</v>
      </c>
      <c r="D8" s="76">
        <f>D7*SQRT(12)</f>
        <v>0.25934103676600123</v>
      </c>
      <c r="E8" s="77">
        <f>E7*SQRT(12)</f>
        <v>0.16888510511973473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3.8" x14ac:dyDescent="0.25">
      <c r="A9" s="75" t="s">
        <v>42</v>
      </c>
      <c r="B9" s="78">
        <f>SLOPE('Monthly Price &amp; Return Data'!C3:C106,'Monthly Price &amp; Return Data'!I3:I106)</f>
        <v>0.83392648425244964</v>
      </c>
      <c r="C9" s="78">
        <f>SLOPE('Monthly Price &amp; Return Data'!E3:E106,'Monthly Price &amp; Return Data'!I3:I106)</f>
        <v>1.2047064832450547</v>
      </c>
      <c r="D9" s="78">
        <f>SLOPE('Monthly Price &amp; Return Data'!G3:G106,'Monthly Price &amp; Return Data'!I3:I106)</f>
        <v>0.93861259484144044</v>
      </c>
      <c r="E9" s="7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3.8" x14ac:dyDescent="0.25">
      <c r="A10" s="75" t="s">
        <v>43</v>
      </c>
      <c r="B10" s="78">
        <f>CORREL('Monthly Price &amp; Return Data'!C3:C106,'Monthly Price &amp; Return Data'!I3:I106)</f>
        <v>0.61339611982692432</v>
      </c>
      <c r="C10" s="78">
        <f>CORREL('Monthly Price &amp; Return Data'!E3:E106,'Monthly Price &amp; Return Data'!I3:I106)</f>
        <v>0.45871655672817613</v>
      </c>
      <c r="D10" s="78">
        <f>CORREL('Monthly Price &amp; Return Data'!G3:G106,'Monthly Price &amp; Return Data'!I3:I106)</f>
        <v>0.61123256358973921</v>
      </c>
      <c r="E10" s="7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3.8" x14ac:dyDescent="0.25">
      <c r="A11" s="75" t="s">
        <v>44</v>
      </c>
      <c r="B11" s="76">
        <f>$B$1+B9*($E$6-$B$1)</f>
        <v>0.10097280257655086</v>
      </c>
      <c r="C11" s="76">
        <f>$B$1+C9*($E$6-$B$1)</f>
        <v>0.1191901106785667</v>
      </c>
      <c r="D11" s="76">
        <f>$B$1+D9*($E$6-$B$1)</f>
        <v>0.10611628155541397</v>
      </c>
      <c r="E11" s="8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ht="13.8" x14ac:dyDescent="0.25">
      <c r="A12" s="75" t="s">
        <v>32</v>
      </c>
      <c r="B12" s="78">
        <f>(B6-$B$1)/B8</f>
        <v>0.32980107835485745</v>
      </c>
      <c r="C12" s="78">
        <f>(C6-$B$1)/C8</f>
        <v>3.3049403820613957E-2</v>
      </c>
      <c r="D12" s="78">
        <f>(D6-$B$1)/D8</f>
        <v>0.34042340601653287</v>
      </c>
      <c r="E12" s="79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3.8" x14ac:dyDescent="0.25">
      <c r="A13" s="75" t="s">
        <v>33</v>
      </c>
      <c r="B13" s="78">
        <f>(B6-$B$1)/B9</f>
        <v>9.0803459601729877E-2</v>
      </c>
      <c r="C13" s="78">
        <f>(C6-$B$1)/C9</f>
        <v>1.2167757968449431E-2</v>
      </c>
      <c r="D13" s="78">
        <f>(D6-$B$1)/D9</f>
        <v>9.4059849123008091E-2</v>
      </c>
      <c r="E13" s="79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3.8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3.8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13.8" x14ac:dyDescent="0.25">
      <c r="A16" s="8" t="s">
        <v>45</v>
      </c>
      <c r="B16" s="8"/>
      <c r="C16" s="8"/>
      <c r="D16" s="8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3.8" x14ac:dyDescent="0.25">
      <c r="A17" s="25"/>
      <c r="B17" s="25" t="s">
        <v>38</v>
      </c>
      <c r="C17" s="25" t="s">
        <v>9</v>
      </c>
      <c r="D17" s="25" t="s">
        <v>8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13.8" x14ac:dyDescent="0.25">
      <c r="A18" s="26" t="s">
        <v>38</v>
      </c>
      <c r="B18" s="26">
        <f>_xlfn.COVARIANCE.S('Monthly Price &amp; Return Data'!C2:C106,'Monthly Price &amp; Return Data'!C2:C106)</f>
        <v>4.3931389052665384E-3</v>
      </c>
      <c r="C18" s="26">
        <f>_xlfn.COVARIANCE.S('Monthly Price &amp; Return Data'!C2:C106,'Monthly Price &amp; Return Data'!E2:E106)</f>
        <v>3.208338597109262E-3</v>
      </c>
      <c r="D18" s="26">
        <f>_xlfn.COVARIANCE.S('Monthly Price &amp; Return Data'!C2:C106,'Monthly Price &amp; Return Data'!G2:G106)</f>
        <v>3.0863162703202657E-3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13.8" x14ac:dyDescent="0.25">
      <c r="A19" s="26" t="s">
        <v>9</v>
      </c>
      <c r="B19" s="26">
        <f>_xlfn.COVARIANCE.S('Monthly Price &amp; Return Data'!E2:E106,'Monthly Price &amp; Return Data'!C2:C106)</f>
        <v>3.208338597109262E-3</v>
      </c>
      <c r="C19" s="26">
        <f>_xlfn.COVARIANCE.S('Monthly Price &amp; Return Data'!E2:E106,'Monthly Price &amp; Return Data'!E2:E106)</f>
        <v>1.6393629463539273E-2</v>
      </c>
      <c r="D19" s="26">
        <f>_xlfn.COVARIANCE.S('Monthly Price &amp; Return Data'!E2:E106,'Monthly Price &amp; Return Data'!G2:G106)</f>
        <v>3.3097069807035613E-3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ht="13.8" x14ac:dyDescent="0.25">
      <c r="A20" s="26" t="s">
        <v>8</v>
      </c>
      <c r="B20" s="26">
        <f>_xlfn.COVARIANCE.S('Monthly Price &amp; Return Data'!G2:G106,'Monthly Price &amp; Return Data'!C2:C106)</f>
        <v>3.0863162703202657E-3</v>
      </c>
      <c r="C20" s="26">
        <f>_xlfn.COVARIANCE.S('Monthly Price &amp; Return Data'!G2:G106,'Monthly Price &amp; Return Data'!E2:E106)</f>
        <v>3.3097069807035613E-3</v>
      </c>
      <c r="D20" s="26">
        <f>_xlfn.COVARIANCE.S('Monthly Price &amp; Return Data'!G2:G106,'Monthly Price &amp; Return Data'!G2:G106)</f>
        <v>5.6048144459053635E-3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13.8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ht="13.8" x14ac:dyDescent="0.25">
      <c r="A22" s="7" t="s">
        <v>46</v>
      </c>
      <c r="B22" s="7"/>
      <c r="C22" s="7"/>
      <c r="D22" s="7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ht="13.8" x14ac:dyDescent="0.25">
      <c r="A23" s="27"/>
      <c r="B23" s="27" t="s">
        <v>38</v>
      </c>
      <c r="C23" s="27" t="s">
        <v>9</v>
      </c>
      <c r="D23" s="27" t="s">
        <v>8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ht="13.8" x14ac:dyDescent="0.25">
      <c r="A24" s="28" t="s">
        <v>38</v>
      </c>
      <c r="B24" s="28">
        <f>CORREL('Monthly Price &amp; Return Data'!C2:C106,'Monthly Price &amp; Return Data'!C2:C106)</f>
        <v>1.0000000000000002</v>
      </c>
      <c r="C24" s="28">
        <f>CORREL('Monthly Price &amp; Return Data'!C2:C106,'Monthly Price &amp; Return Data'!E2:E106)</f>
        <v>0.37805516081147222</v>
      </c>
      <c r="D24" s="28">
        <f>CORREL('Monthly Price &amp; Return Data'!C2:C106,'Monthly Price &amp; Return Data'!G2:G106)</f>
        <v>0.62197415825861158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ht="13.8" x14ac:dyDescent="0.25">
      <c r="A25" s="28" t="s">
        <v>9</v>
      </c>
      <c r="B25" s="28">
        <f>CORREL('Monthly Price &amp; Return Data'!E2:E106,'Monthly Price &amp; Return Data'!C2:C106)</f>
        <v>0.37805516081147222</v>
      </c>
      <c r="C25" s="28">
        <f>CORREL('Monthly Price &amp; Return Data'!E2:E106,'Monthly Price &amp; Return Data'!E2:E106)</f>
        <v>1.0000000000000002</v>
      </c>
      <c r="D25" s="28">
        <f>CORREL('Monthly Price &amp; Return Data'!E2:E106,'Monthly Price &amp; Return Data'!G2:G106)</f>
        <v>0.34527995700172703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ht="13.8" x14ac:dyDescent="0.25">
      <c r="A26" s="28" t="s">
        <v>8</v>
      </c>
      <c r="B26" s="28">
        <f>CORREL('Monthly Price &amp; Return Data'!G2:G106,'Monthly Price &amp; Return Data'!C2:C106)</f>
        <v>0.62197415825861158</v>
      </c>
      <c r="C26" s="28">
        <f>CORREL('Monthly Price &amp; Return Data'!G2:G106,'Monthly Price &amp; Return Data'!E2:E106)</f>
        <v>0.34527995700172703</v>
      </c>
      <c r="D26" s="28">
        <f>CORREL('Monthly Price &amp; Return Data'!G2:G106,'Monthly Price &amp; Return Data'!G2:G106)</f>
        <v>0.99999999999999989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ht="13.8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ht="13.8" x14ac:dyDescent="0.25">
      <c r="A28" s="81" t="s">
        <v>47</v>
      </c>
      <c r="B28" s="81"/>
      <c r="C28" s="81"/>
      <c r="D28" s="8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ht="13.8" x14ac:dyDescent="0.25">
      <c r="A29" s="82" t="s">
        <v>48</v>
      </c>
      <c r="B29" s="82" t="s">
        <v>49</v>
      </c>
      <c r="C29" s="82" t="s">
        <v>40</v>
      </c>
      <c r="D29" s="82" t="s">
        <v>50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ht="13.8" x14ac:dyDescent="0.25">
      <c r="A30" s="83" t="s">
        <v>38</v>
      </c>
      <c r="B30" s="84">
        <f>100%/3</f>
        <v>0.33333333333333331</v>
      </c>
      <c r="C30" s="84">
        <f>$B$6</f>
        <v>0.13572340982362993</v>
      </c>
      <c r="D30" s="85">
        <f>B30*$B$2</f>
        <v>333333.33333333331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ht="13.8" x14ac:dyDescent="0.25">
      <c r="A31" s="83" t="s">
        <v>9</v>
      </c>
      <c r="B31" s="84">
        <f>100%/3</f>
        <v>0.33333333333333331</v>
      </c>
      <c r="C31" s="84">
        <f>$C$6</f>
        <v>7.4658576911147703E-2</v>
      </c>
      <c r="D31" s="85">
        <f>B31*$B$2</f>
        <v>333333.33333333331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ht="13.8" x14ac:dyDescent="0.25">
      <c r="A32" s="83" t="s">
        <v>8</v>
      </c>
      <c r="B32" s="84">
        <f>100%/3</f>
        <v>0.33333333333333331</v>
      </c>
      <c r="C32" s="84">
        <f>$D$6</f>
        <v>0.14828575905574101</v>
      </c>
      <c r="D32" s="85">
        <f>B32*$B$2</f>
        <v>333333.33333333331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ht="13.8" x14ac:dyDescent="0.25">
      <c r="A33" s="83" t="s">
        <v>51</v>
      </c>
      <c r="B33" s="84">
        <f>SUM(B30:B32)</f>
        <v>1</v>
      </c>
      <c r="C33" s="83"/>
      <c r="D33" s="83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ht="13.8" x14ac:dyDescent="0.25">
      <c r="A34" s="83" t="s">
        <v>52</v>
      </c>
      <c r="B34" s="84">
        <f>SUMPRODUCT(B30:B32,C30:C32)</f>
        <v>0.1195559152635062</v>
      </c>
      <c r="C34" s="83"/>
      <c r="D34" s="83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ht="13.8" x14ac:dyDescent="0.25">
      <c r="A35" s="83" t="s">
        <v>53</v>
      </c>
      <c r="B35" s="84">
        <f>SQRT((B30^2*$B$18+B31^2*$C$19+B32^2*$D$20+2*B30*B31*$C$18+2*B30*B32*$D$18+2*B31*B32*$D$19)*12)</f>
        <v>0.24657738882813879</v>
      </c>
      <c r="C35" s="83"/>
      <c r="D35" s="83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ht="13.8" x14ac:dyDescent="0.25">
      <c r="A36" s="83" t="s">
        <v>54</v>
      </c>
      <c r="B36" s="86">
        <f>B30*$B$9+B31*$C$9+B32*$D$9</f>
        <v>0.99241518744631485</v>
      </c>
      <c r="C36" s="83"/>
      <c r="D36" s="83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ht="13.8" x14ac:dyDescent="0.25">
      <c r="A37" s="83" t="s">
        <v>32</v>
      </c>
      <c r="B37" s="86">
        <f>(B34-$B$1)/B35</f>
        <v>0.24153031852006471</v>
      </c>
      <c r="C37" s="83"/>
      <c r="D37" s="8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ht="13.8" x14ac:dyDescent="0.25">
      <c r="A38" s="83" t="s">
        <v>33</v>
      </c>
      <c r="B38" s="86">
        <f>(B34-$B$1)/B36</f>
        <v>6.0011088118024102E-2</v>
      </c>
      <c r="C38" s="83"/>
      <c r="D38" s="83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ht="13.8" x14ac:dyDescent="0.25">
      <c r="A39" s="19"/>
      <c r="B39" s="19"/>
      <c r="C39" s="19"/>
      <c r="D39" s="19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ht="13.8" x14ac:dyDescent="0.25">
      <c r="A40" s="87" t="s">
        <v>55</v>
      </c>
      <c r="B40" s="87"/>
      <c r="C40" s="87"/>
      <c r="D40" s="87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13.8" x14ac:dyDescent="0.25">
      <c r="A41" s="88" t="s">
        <v>48</v>
      </c>
      <c r="B41" s="88" t="s">
        <v>49</v>
      </c>
      <c r="C41" s="88" t="s">
        <v>40</v>
      </c>
      <c r="D41" s="88" t="s">
        <v>50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13.8" x14ac:dyDescent="0.25">
      <c r="A42" s="89" t="s">
        <v>38</v>
      </c>
      <c r="B42" s="90">
        <v>0.496394</v>
      </c>
      <c r="C42" s="91">
        <f>$B$6</f>
        <v>0.13572340982362993</v>
      </c>
      <c r="D42" s="92">
        <f>B42*$B$2</f>
        <v>496394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3.8" x14ac:dyDescent="0.25">
      <c r="A43" s="89" t="s">
        <v>9</v>
      </c>
      <c r="B43" s="90">
        <v>0</v>
      </c>
      <c r="C43" s="91">
        <f>$C$6</f>
        <v>7.4658576911147703E-2</v>
      </c>
      <c r="D43" s="92">
        <f>B43*$B$2</f>
        <v>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 ht="13.8" x14ac:dyDescent="0.25">
      <c r="A44" s="89" t="s">
        <v>8</v>
      </c>
      <c r="B44" s="90">
        <v>0.503606</v>
      </c>
      <c r="C44" s="91">
        <f>$D$6</f>
        <v>0.14828575905574101</v>
      </c>
      <c r="D44" s="92">
        <f>B44*$B$2</f>
        <v>503606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ht="13.8" x14ac:dyDescent="0.25">
      <c r="A45" s="89" t="s">
        <v>51</v>
      </c>
      <c r="B45" s="91">
        <f>SUM(B42:B44)</f>
        <v>1</v>
      </c>
      <c r="C45" s="89"/>
      <c r="D45" s="89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ht="13.8" x14ac:dyDescent="0.25">
      <c r="A46" s="89" t="s">
        <v>52</v>
      </c>
      <c r="B46" s="91">
        <f>SUMPRODUCT(B42:B44,C42:C44)</f>
        <v>0.14204988427101645</v>
      </c>
      <c r="C46" s="89"/>
      <c r="D46" s="89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ht="13.8" x14ac:dyDescent="0.25">
      <c r="A47" s="89" t="s">
        <v>53</v>
      </c>
      <c r="B47" s="91">
        <f>SQRT((B42^2*$B$18+B43^2*$C$19+B44^2*$D$20+2*B42*B43*$C$18+2*B42*B44*$D$18+2*B43*B44*$D$19)*12)</f>
        <v>0.22037419585337828</v>
      </c>
      <c r="C47" s="89"/>
      <c r="D47" s="89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ht="13.8" x14ac:dyDescent="0.25">
      <c r="A48" s="89" t="s">
        <v>54</v>
      </c>
      <c r="B48" s="93">
        <f>B42*$B$9+B43*$C$9+B44*$D$9</f>
        <v>0.88664703766172903</v>
      </c>
      <c r="C48" s="89"/>
      <c r="D48" s="89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ht="13.8" x14ac:dyDescent="0.25">
      <c r="A49" s="89" t="s">
        <v>32</v>
      </c>
      <c r="B49" s="93">
        <f>(B46-$B$1)/B47</f>
        <v>0.37232074269533244</v>
      </c>
      <c r="C49" s="89"/>
      <c r="D49" s="89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ht="13.8" x14ac:dyDescent="0.25">
      <c r="A50" s="89" t="s">
        <v>33</v>
      </c>
      <c r="B50" s="93">
        <f>(B46-$B$1)/B48</f>
        <v>9.253951210100346E-2</v>
      </c>
      <c r="C50" s="89"/>
      <c r="D50" s="89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ht="13.8" x14ac:dyDescent="0.25">
      <c r="A51" s="19"/>
      <c r="B51" s="19"/>
      <c r="C51" s="19"/>
      <c r="D51" s="19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ht="13.8" x14ac:dyDescent="0.25">
      <c r="A52" s="94" t="s">
        <v>56</v>
      </c>
      <c r="B52" s="94"/>
      <c r="C52" s="94"/>
      <c r="D52" s="94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 ht="13.8" x14ac:dyDescent="0.25">
      <c r="A53" s="95" t="s">
        <v>48</v>
      </c>
      <c r="B53" s="95" t="s">
        <v>49</v>
      </c>
      <c r="C53" s="95" t="s">
        <v>40</v>
      </c>
      <c r="D53" s="95" t="s">
        <v>50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ht="13.8" x14ac:dyDescent="0.25">
      <c r="A54" s="96" t="s">
        <v>38</v>
      </c>
      <c r="B54" s="97">
        <v>0.626274</v>
      </c>
      <c r="C54" s="98">
        <f>$B$6</f>
        <v>0.13572340982362993</v>
      </c>
      <c r="D54" s="99">
        <f>B54*$B$2</f>
        <v>626274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ht="13.8" x14ac:dyDescent="0.25">
      <c r="A55" s="96" t="s">
        <v>9</v>
      </c>
      <c r="B55" s="97">
        <v>5.0804000000000002E-2</v>
      </c>
      <c r="C55" s="98">
        <f>$C$6</f>
        <v>7.4658576911147703E-2</v>
      </c>
      <c r="D55" s="99">
        <f>B55*$B$2</f>
        <v>50804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ht="13.8" x14ac:dyDescent="0.25">
      <c r="A56" s="96" t="s">
        <v>8</v>
      </c>
      <c r="B56" s="97">
        <v>0.32292199999999999</v>
      </c>
      <c r="C56" s="98">
        <f>$D$6</f>
        <v>0.14828575905574101</v>
      </c>
      <c r="D56" s="99">
        <f>B56*$B$2</f>
        <v>322922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ht="13.8" x14ac:dyDescent="0.25">
      <c r="A57" s="96" t="s">
        <v>51</v>
      </c>
      <c r="B57" s="98">
        <f>SUM(B54:B56)</f>
        <v>1</v>
      </c>
      <c r="C57" s="96"/>
      <c r="D57" s="96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ht="13.8" x14ac:dyDescent="0.25">
      <c r="A58" s="96" t="s">
        <v>52</v>
      </c>
      <c r="B58" s="98">
        <f>SUMPRODUCT(B54:B56,C54:C56)</f>
        <v>0.13667773099107594</v>
      </c>
      <c r="C58" s="96"/>
      <c r="D58" s="96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ht="13.8" x14ac:dyDescent="0.25">
      <c r="A59" s="96" t="s">
        <v>53</v>
      </c>
      <c r="B59" s="98">
        <f>SQRT((B54^2*$B$18+B55^2*$C$19+B56^2*$D$20+2*B54*B55*$C$18+2*B54*B56*$D$18+2*B55*B56*$D$19)*12)</f>
        <v>0.21663639581077596</v>
      </c>
      <c r="C59" s="96"/>
      <c r="D59" s="96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ht="13.8" x14ac:dyDescent="0.25">
      <c r="A60" s="96" t="s">
        <v>54</v>
      </c>
      <c r="B60" s="100">
        <f>B54*$B$9+B55*$C$9+B56*$D$9</f>
        <v>0.88656903952488797</v>
      </c>
      <c r="C60" s="96"/>
      <c r="D60" s="96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ht="13.8" x14ac:dyDescent="0.25">
      <c r="A61" s="96" t="s">
        <v>32</v>
      </c>
      <c r="B61" s="100">
        <f>(B58-$B$1)/B59</f>
        <v>0.35394667042952083</v>
      </c>
      <c r="C61" s="96"/>
      <c r="D61" s="96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 ht="13.8" x14ac:dyDescent="0.25">
      <c r="A62" s="96" t="s">
        <v>33</v>
      </c>
      <c r="B62" s="100">
        <f>(B58-$B$1)/B60</f>
        <v>8.6488166823609713E-2</v>
      </c>
      <c r="C62" s="96"/>
      <c r="D62" s="96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ht="13.8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ht="13.8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ht="13.8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ht="13.8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ht="13.8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ht="13.8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3.8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3.8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3.8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3.8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3.8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3.8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ht="13.8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ht="13.8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ht="13.8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ht="13.8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ht="13.8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ht="13.8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ht="13.8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ht="13.8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ht="13.8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ht="13.8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ht="13.8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ht="13.8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ht="13.8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ht="13.8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ht="13.8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ht="13.8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ht="13.8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ht="13.8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 ht="13.8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ht="13.8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 ht="13.8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ht="13.8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ht="13.8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ht="13.8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 ht="13.8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ht="13.8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ht="13.8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ht="13.8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ht="13.8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ht="13.8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ht="13.8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ht="13.8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ht="13.8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ht="13.8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ht="13.8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ht="13.8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ht="13.8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ht="13.8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ht="13.8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ht="13.8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ht="13.8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ht="13.8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ht="13.8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ht="13.8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ht="13.8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ht="13.8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ht="13.8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ht="13.8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ht="13.8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ht="13.8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ht="13.8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ht="13.8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ht="13.8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ht="13.8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ht="13.8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ht="13.8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ht="13.8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ht="13.8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ht="13.8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ht="13.8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ht="13.8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ht="13.8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ht="13.8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ht="13.8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ht="13.8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ht="13.8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ht="13.8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ht="13.8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ht="13.8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1:22" ht="13.8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1:22" ht="13.8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1:22" ht="13.8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1:22" ht="13.8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1:22" ht="13.8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1:22" ht="13.8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spans="1:22" ht="13.8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spans="1:22" ht="13.8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1:22" ht="13.8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1:22" ht="13.8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1:22" ht="13.8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1:22" ht="13.8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2" ht="13.8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2" ht="13.8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2" ht="13.8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2" ht="13.8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2" ht="13.8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ht="13.8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1:22" ht="13.8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1:22" ht="13.8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2" ht="13.8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ht="13.8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ht="13.8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spans="1:22" ht="13.8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1:22" ht="13.8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spans="1:22" ht="13.8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spans="1:22" ht="13.8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spans="1:22" ht="13.8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spans="1:22" ht="13.8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spans="1:22" ht="13.8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spans="1:22" ht="13.8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spans="1:22" ht="13.8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spans="1:22" ht="13.8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spans="1:22" ht="13.8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spans="1:22" ht="13.8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spans="1:22" ht="13.8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spans="1:22" ht="13.8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spans="1:22" ht="13.8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spans="1:22" ht="13.8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spans="1:22" ht="13.8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spans="1:22" ht="13.8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spans="1:22" ht="13.8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spans="1:22" ht="13.8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spans="1:22" ht="13.8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spans="1:22" ht="13.8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spans="1:22" ht="13.8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spans="1:22" ht="13.8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spans="1:22" ht="13.8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spans="1:22" ht="13.8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1:22" ht="13.8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spans="1:22" ht="13.8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1:22" ht="13.8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1:22" ht="13.8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1:22" ht="13.8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1:22" ht="13.8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2" ht="13.8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1:22" ht="13.8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spans="1:22" ht="13.8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spans="1:22" ht="13.8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spans="1:22" ht="13.8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spans="1:22" ht="13.8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spans="1:22" ht="13.8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spans="1:22" ht="13.8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2" ht="13.8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spans="1:22" ht="13.8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spans="1:22" ht="13.8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spans="1:22" ht="13.8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spans="1:22" ht="13.8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spans="1:22" ht="13.8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spans="1:22" ht="13.8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spans="1:22" ht="13.8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spans="1:22" ht="13.8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spans="1:22" ht="13.8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 spans="1:22" ht="13.8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 spans="1:22" ht="13.8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 spans="1:22" ht="13.8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 spans="1:22" ht="13.8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 spans="1:22" ht="13.8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 spans="1:22" ht="13.8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 spans="1:22" ht="13.8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 spans="1:22" ht="13.8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 spans="1:22" ht="13.8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 spans="1:22" ht="13.8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 spans="1:22" ht="13.8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 spans="1:22" ht="13.8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 spans="1:22" ht="13.8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1:22" ht="13.8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spans="1:22" ht="13.8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spans="1:22" ht="13.8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2" ht="13.8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2" ht="13.8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2" ht="13.8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2" ht="13.8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1:22" ht="13.8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2" ht="13.8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2" ht="13.8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spans="1:22" ht="13.8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spans="1:22" ht="13.8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ht="13.8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spans="1:22" ht="13.8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spans="1:22" ht="13.8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spans="1:22" ht="13.8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spans="1:22" ht="13.8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spans="1:22" ht="13.8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spans="1:22" ht="13.8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spans="1:22" ht="13.8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spans="1:22" ht="13.8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 spans="1:22" ht="13.8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 spans="1:22" ht="13.8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 spans="1:22" ht="13.8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 spans="1:22" ht="13.8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 spans="1:22" ht="13.8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 spans="1:22" ht="13.8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 spans="1:22" ht="13.8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 spans="1:22" ht="13.8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 spans="1:22" ht="13.8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 spans="1:22" ht="13.8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 spans="1:22" ht="13.8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 spans="1:22" ht="13.8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 spans="1:22" ht="13.8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 spans="1:22" ht="13.8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 spans="1:22" ht="13.8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 spans="1:22" ht="13.8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 spans="1:22" ht="13.8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 spans="1:22" ht="13.8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 spans="1:22" ht="13.8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 spans="1:22" ht="13.8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 spans="1:22" ht="13.8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 spans="1:22" ht="13.8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 spans="1:22" ht="13.8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 spans="1:22" ht="13.8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 spans="1:22" ht="13.8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 spans="1:22" ht="13.8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 spans="1:22" ht="13.8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 spans="1:22" ht="13.8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 spans="1:22" ht="13.8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 spans="1:22" ht="13.8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 spans="1:22" ht="13.8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 spans="1:22" ht="13.8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 spans="1:22" ht="13.8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 spans="1:22" ht="13.8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 spans="1:22" ht="13.8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 spans="1:22" ht="13.8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 spans="1:22" ht="13.8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 spans="1:22" ht="13.8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 spans="1:22" ht="13.8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 spans="1:22" ht="13.8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 spans="1:22" ht="13.8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 spans="1:22" ht="13.8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 spans="1:22" ht="13.8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 spans="1:22" ht="13.8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 spans="1:22" ht="13.8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 spans="1:22" ht="13.8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 spans="1:22" ht="13.8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 spans="1:22" ht="13.8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 spans="1:22" ht="13.8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 spans="1:22" ht="13.8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 spans="1:22" ht="13.8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 spans="1:22" ht="13.8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</row>
    <row r="303" spans="1:22" ht="13.8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 spans="1:22" ht="13.8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</row>
    <row r="305" spans="1:22" ht="13.8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</row>
    <row r="306" spans="1:22" ht="13.8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</row>
    <row r="307" spans="1:22" ht="13.8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</row>
    <row r="308" spans="1:22" ht="13.8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</row>
    <row r="309" spans="1:22" ht="13.8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 spans="1:22" ht="13.8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 spans="1:22" ht="13.8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 spans="1:22" ht="13.8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 spans="1:22" ht="13.8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 spans="1:22" ht="13.8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 spans="1:22" ht="13.8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 spans="1:22" ht="13.8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</row>
    <row r="317" spans="1:22" ht="13.8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 spans="1:22" ht="13.8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 spans="1:22" ht="13.8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 spans="1:22" ht="13.8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 spans="1:22" ht="13.8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</row>
    <row r="322" spans="1:22" ht="13.8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 spans="1:22" ht="13.8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 spans="1:22" ht="13.8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 spans="1:22" ht="13.8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 spans="1:22" ht="13.8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 spans="1:22" ht="13.8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 spans="1:22" ht="13.8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 spans="1:22" ht="13.8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 spans="1:22" ht="13.8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 spans="1:22" ht="13.8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 spans="1:22" ht="13.8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 spans="1:22" ht="13.8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 spans="1:22" ht="13.8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 spans="1:22" ht="13.8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 spans="1:22" ht="13.8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 spans="1:22" ht="13.8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 spans="1:22" ht="13.8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 spans="1:22" ht="13.8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 spans="1:22" ht="13.8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 spans="1:22" ht="13.8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 spans="1:22" ht="13.8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 spans="1:22" ht="13.8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 spans="1:22" ht="13.8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 spans="1:22" ht="13.8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 spans="1:22" ht="13.8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 spans="1:22" ht="13.8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 spans="1:22" ht="13.8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 spans="1:22" ht="13.8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 spans="1:22" ht="13.8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 spans="1:22" ht="13.8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 spans="1:22" ht="13.8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 spans="1:22" ht="13.8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 spans="1:22" ht="13.8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 spans="1:22" ht="13.8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 spans="1:22" ht="13.8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 spans="1:22" ht="13.8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 spans="1:22" ht="13.8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 spans="1:22" ht="13.8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 spans="1:22" ht="13.8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 spans="1:22" ht="13.8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 spans="1:22" ht="13.8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 spans="1:22" ht="13.8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 spans="1:22" ht="13.8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 spans="1:22" ht="13.8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 spans="1:22" ht="13.8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 spans="1:22" ht="13.8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 spans="1:22" ht="13.8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 spans="1:22" ht="13.8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 spans="1:22" ht="13.8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 spans="1:22" ht="13.8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 spans="1:22" ht="13.8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 spans="1:22" ht="13.8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 spans="1:22" ht="13.8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 spans="1:22" ht="13.8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 spans="1:22" ht="13.8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 spans="1:22" ht="13.8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 spans="1:22" ht="13.8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 spans="1:22" ht="13.8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 spans="1:22" ht="13.8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 spans="1:22" ht="13.8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 spans="1:22" ht="13.8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 spans="1:22" ht="13.8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 spans="1:22" ht="13.8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 spans="1:22" ht="13.8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 spans="1:22" ht="13.8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 spans="1:22" ht="13.8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 spans="1:22" ht="13.8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 spans="1:22" ht="13.8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 spans="1:22" ht="13.8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 spans="1:22" ht="13.8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 spans="1:22" ht="13.8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 spans="1:22" ht="13.8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 spans="1:22" ht="13.8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 spans="1:22" ht="13.8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 spans="1:22" ht="13.8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 spans="1:22" ht="13.8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 spans="1:22" ht="13.8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 spans="1:22" ht="13.8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 spans="1:22" ht="13.8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 spans="1:22" ht="13.8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 spans="1:22" ht="13.8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 spans="1:22" ht="13.8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 spans="1:22" ht="13.8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 spans="1:22" ht="13.8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 spans="1:22" ht="13.8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 spans="1:22" ht="13.8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 spans="1:22" ht="13.8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 spans="1:22" ht="13.8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 spans="1:22" ht="13.8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 spans="1:22" ht="13.8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 spans="1:22" ht="13.8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 spans="1:22" ht="13.8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 spans="1:22" ht="13.8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 spans="1:22" ht="13.8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 spans="1:22" ht="13.8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 spans="1:22" ht="13.8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 spans="1:22" ht="13.8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 spans="1:22" ht="13.8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 spans="1:22" ht="13.8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 spans="1:22" ht="13.8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 spans="1:22" ht="13.8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 spans="1:22" ht="13.8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 spans="1:22" ht="13.8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 spans="1:22" ht="13.8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 spans="1:22" ht="13.8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 spans="1:22" ht="13.8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 spans="1:22" ht="13.8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 spans="1:22" ht="13.8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 spans="1:22" ht="13.8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 spans="1:22" ht="13.8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 spans="1:22" ht="13.8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 spans="1:22" ht="13.8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 spans="1:22" ht="13.8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 spans="1:22" ht="13.8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 spans="1:22" ht="13.8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 spans="1:22" ht="13.8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 spans="1:22" ht="13.8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 spans="1:22" ht="13.8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 spans="1:22" ht="13.8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 spans="1:22" ht="13.8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 spans="1:22" ht="13.8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 spans="1:22" ht="13.8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</row>
    <row r="444" spans="1:22" ht="13.8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 spans="1:22" ht="13.8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 spans="1:22" ht="13.8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 spans="1:22" ht="13.8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 spans="1:22" ht="13.8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 spans="1:22" ht="13.8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 spans="1:22" ht="13.8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 spans="1:22" ht="13.8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</row>
    <row r="452" spans="1:22" ht="13.8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 spans="1:22" ht="13.8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 spans="1:22" ht="13.8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 spans="1:22" ht="13.8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 spans="1:22" ht="13.8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 spans="1:22" ht="13.8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 spans="1:22" ht="13.8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 spans="1:22" ht="13.8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 spans="1:22" ht="13.8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</row>
    <row r="461" spans="1:22" ht="13.8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</row>
    <row r="462" spans="1:22" ht="13.8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</row>
    <row r="463" spans="1:22" ht="13.8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</row>
    <row r="464" spans="1:22" ht="13.8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</row>
    <row r="465" spans="1:22" ht="13.8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 spans="1:22" ht="13.8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</row>
    <row r="467" spans="1:22" ht="13.8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</row>
    <row r="468" spans="1:22" ht="13.8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</row>
    <row r="469" spans="1:22" ht="13.8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</row>
    <row r="470" spans="1:22" ht="13.8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</row>
    <row r="471" spans="1:22" ht="13.8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</row>
    <row r="472" spans="1:22" ht="13.8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</row>
    <row r="473" spans="1:22" ht="13.8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 spans="1:22" ht="13.8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 spans="1:22" ht="13.8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</row>
    <row r="476" spans="1:22" ht="13.8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</row>
    <row r="477" spans="1:22" ht="13.8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</row>
    <row r="478" spans="1:22" ht="13.8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</row>
    <row r="479" spans="1:22" ht="13.8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 spans="1:22" ht="13.8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</row>
    <row r="481" spans="1:22" ht="13.8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</row>
    <row r="482" spans="1:22" ht="13.8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 spans="1:22" ht="13.8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 spans="1:22" ht="13.8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 spans="1:22" ht="13.8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 spans="1:22" ht="13.8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 spans="1:22" ht="13.8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</row>
    <row r="488" spans="1:22" ht="13.8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</row>
    <row r="489" spans="1:22" ht="13.8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</row>
    <row r="490" spans="1:22" ht="13.8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 spans="1:22" ht="13.8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</row>
    <row r="492" spans="1:22" ht="13.8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</row>
    <row r="493" spans="1:22" ht="13.8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</row>
    <row r="494" spans="1:22" ht="13.8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</row>
    <row r="495" spans="1:22" ht="13.8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</row>
    <row r="496" spans="1:22" ht="13.8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</row>
    <row r="497" spans="1:22" ht="13.8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</row>
    <row r="498" spans="1:22" ht="13.8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</row>
    <row r="499" spans="1:22" ht="13.8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</row>
    <row r="500" spans="1:22" ht="13.8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 spans="1:22" ht="13.8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 spans="1:22" ht="13.8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 spans="1:22" ht="13.8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 spans="1:22" ht="13.8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 spans="1:22" ht="13.8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 spans="1:22" ht="13.8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 spans="1:22" ht="13.8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 spans="1:22" ht="13.8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 spans="1:22" ht="13.8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 spans="1:22" ht="13.8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 spans="1:22" ht="13.8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 spans="1:22" ht="13.8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 spans="1:22" ht="13.8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 spans="1:22" ht="13.8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 spans="1:22" ht="13.8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 spans="1:22" ht="13.8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 spans="1:22" ht="13.8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 spans="1:22" ht="13.8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 spans="1:22" ht="13.8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 spans="1:22" ht="13.8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 spans="1:22" ht="13.8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 spans="1:22" ht="13.8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 spans="1:22" ht="13.8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 spans="1:22" ht="13.8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 spans="1:22" ht="13.8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 spans="1:22" ht="13.8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 spans="1:22" ht="13.8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 spans="1:22" ht="13.8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 spans="1:22" ht="13.8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 spans="1:22" ht="13.8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 spans="1:22" ht="13.8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 spans="1:22" ht="13.8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 spans="1:22" ht="13.8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 spans="1:22" ht="13.8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 spans="1:22" ht="13.8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 spans="1:22" ht="13.8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 spans="1:22" ht="13.8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 spans="1:22" ht="13.8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 spans="1:22" ht="13.8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 spans="1:22" ht="13.8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 spans="1:22" ht="13.8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 spans="1:22" ht="13.8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 spans="1:22" ht="13.8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 spans="1:22" ht="13.8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 spans="1:22" ht="13.8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 spans="1:22" ht="13.8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 spans="1:22" ht="13.8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 spans="1:22" ht="13.8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 spans="1:22" ht="13.8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 spans="1:22" ht="13.8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 spans="1:22" ht="13.8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 spans="1:22" ht="13.8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 spans="1:22" ht="13.8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 spans="1:22" ht="13.8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 spans="1:22" ht="13.8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 spans="1:22" ht="13.8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 spans="1:22" ht="13.8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 spans="1:22" ht="13.8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 spans="1:22" ht="13.8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 spans="1:22" ht="13.8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 spans="1:22" ht="13.8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 spans="1:22" ht="13.8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 spans="1:22" ht="13.8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 spans="1:22" ht="13.8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 spans="1:22" ht="13.8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 spans="1:22" ht="13.8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 spans="1:22" ht="13.8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 spans="1:22" ht="13.8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 spans="1:22" ht="13.8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 spans="1:22" ht="13.8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 spans="1:22" ht="13.8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 spans="1:22" ht="13.8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 spans="1:22" ht="13.8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 spans="1:22" ht="13.8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 spans="1:22" ht="13.8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 spans="1:22" ht="13.8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 spans="1:22" ht="13.8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 spans="1:22" ht="13.8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 spans="1:22" ht="13.8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 spans="1:22" ht="13.8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 spans="1:22" ht="13.8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 spans="1:22" ht="13.8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 spans="1:22" ht="13.8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 spans="1:22" ht="13.8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 spans="1:22" ht="13.8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 spans="1:22" ht="13.8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 spans="1:22" ht="13.8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 spans="1:22" ht="13.8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 spans="1:22" ht="13.8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 spans="1:22" ht="13.8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 spans="1:22" ht="13.8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 spans="1:22" ht="13.8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 spans="1:22" ht="13.8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 spans="1:22" ht="13.8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 spans="1:22" ht="13.8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 spans="1:22" ht="13.8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 spans="1:22" ht="13.8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 spans="1:22" ht="13.8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 spans="1:22" ht="13.8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 spans="1:22" ht="13.8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 spans="1:22" ht="13.8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 spans="1:22" ht="13.8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 spans="1:22" ht="13.8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 spans="1:22" ht="13.8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 spans="1:22" ht="13.8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 spans="1:22" ht="13.8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 spans="1:22" ht="13.8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 spans="1:22" ht="13.8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 spans="1:22" ht="13.8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 spans="1:22" ht="13.8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 spans="1:22" ht="13.8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 spans="1:22" ht="13.8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 spans="1:22" ht="13.8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 spans="1:22" ht="13.8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 spans="1:22" ht="13.8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 spans="1:22" ht="13.8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 spans="1:22" ht="13.8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 spans="1:22" ht="13.8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 spans="1:22" ht="13.8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 spans="1:22" ht="13.8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 spans="1:22" ht="13.8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 spans="1:22" ht="13.8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 spans="1:22" ht="13.8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</row>
    <row r="624" spans="1:22" ht="13.8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 spans="1:22" ht="13.8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 spans="1:22" ht="13.8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 spans="1:22" ht="13.8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 spans="1:22" ht="13.8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 spans="1:22" ht="13.8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</row>
    <row r="630" spans="1:22" ht="13.8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</row>
    <row r="631" spans="1:22" ht="13.8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</row>
    <row r="632" spans="1:22" ht="13.8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</row>
    <row r="633" spans="1:22" ht="13.8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</row>
    <row r="634" spans="1:22" ht="13.8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</row>
    <row r="635" spans="1:22" ht="13.8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</row>
    <row r="636" spans="1:22" ht="13.8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</row>
    <row r="637" spans="1:22" ht="13.8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</row>
    <row r="638" spans="1:22" ht="13.8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</row>
    <row r="639" spans="1:22" ht="13.8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</row>
    <row r="640" spans="1:22" ht="13.8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</row>
    <row r="641" spans="1:22" ht="13.8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</row>
    <row r="642" spans="1:22" ht="13.8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</row>
    <row r="643" spans="1:22" ht="13.8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</row>
    <row r="644" spans="1:22" ht="13.8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</row>
    <row r="645" spans="1:22" ht="13.8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</row>
    <row r="646" spans="1:22" ht="13.8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</row>
    <row r="647" spans="1:22" ht="13.8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</row>
    <row r="648" spans="1:22" ht="13.8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</row>
    <row r="649" spans="1:22" ht="13.8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</row>
    <row r="650" spans="1:22" ht="13.8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</row>
    <row r="651" spans="1:22" ht="13.8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</row>
    <row r="652" spans="1:22" ht="13.8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</row>
    <row r="653" spans="1:22" ht="13.8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</row>
    <row r="654" spans="1:22" ht="13.8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</row>
    <row r="655" spans="1:22" ht="13.8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</row>
    <row r="656" spans="1:22" ht="13.8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</row>
    <row r="657" spans="1:22" ht="13.8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</row>
    <row r="658" spans="1:22" ht="13.8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 spans="1:22" ht="13.8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</row>
    <row r="660" spans="1:22" ht="13.8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</row>
    <row r="661" spans="1:22" ht="13.8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</row>
    <row r="662" spans="1:22" ht="13.8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</row>
    <row r="663" spans="1:22" ht="13.8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</row>
    <row r="664" spans="1:22" ht="13.8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</row>
    <row r="665" spans="1:22" ht="13.8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</row>
    <row r="666" spans="1:22" ht="13.8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</row>
    <row r="667" spans="1:22" ht="13.8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  <row r="668" spans="1:22" ht="13.8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</row>
    <row r="669" spans="1:22" ht="13.8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</row>
    <row r="670" spans="1:22" ht="13.8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</row>
    <row r="671" spans="1:22" ht="13.8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</row>
    <row r="672" spans="1:22" ht="13.8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</row>
    <row r="673" spans="1:22" ht="13.8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</row>
    <row r="674" spans="1:22" ht="13.8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</row>
    <row r="675" spans="1:22" ht="13.8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</row>
    <row r="676" spans="1:22" ht="13.8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</row>
    <row r="677" spans="1:22" ht="13.8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</row>
    <row r="678" spans="1:22" ht="13.8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</row>
    <row r="679" spans="1:22" ht="13.8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</row>
    <row r="680" spans="1:22" ht="13.8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</row>
    <row r="681" spans="1:22" ht="13.8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</row>
    <row r="682" spans="1:22" ht="13.8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</row>
    <row r="683" spans="1:22" ht="13.8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</row>
    <row r="684" spans="1:22" ht="13.8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</row>
    <row r="685" spans="1:22" ht="13.8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</row>
    <row r="686" spans="1:22" ht="13.8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</row>
    <row r="687" spans="1:22" ht="13.8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</row>
    <row r="688" spans="1:22" ht="13.8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</row>
    <row r="689" spans="1:22" ht="13.8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</row>
    <row r="690" spans="1:22" ht="13.8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</row>
    <row r="691" spans="1:22" ht="13.8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</row>
    <row r="692" spans="1:22" ht="13.8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</row>
    <row r="693" spans="1:22" ht="13.8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</row>
    <row r="694" spans="1:22" ht="13.8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</row>
    <row r="695" spans="1:22" ht="13.8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</row>
    <row r="696" spans="1:22" ht="13.8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</row>
    <row r="697" spans="1:22" ht="13.8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</row>
    <row r="698" spans="1:22" ht="13.8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</row>
    <row r="699" spans="1:22" ht="13.8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</row>
    <row r="700" spans="1:22" ht="13.8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</row>
    <row r="701" spans="1:22" ht="13.8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</row>
    <row r="702" spans="1:22" ht="13.8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</row>
    <row r="703" spans="1:22" ht="13.8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</row>
    <row r="704" spans="1:22" ht="13.8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</row>
    <row r="705" spans="1:22" ht="13.8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</row>
    <row r="706" spans="1:22" ht="13.8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</row>
    <row r="707" spans="1:22" ht="13.8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</row>
    <row r="708" spans="1:22" ht="13.8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</row>
    <row r="709" spans="1:22" ht="13.8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</row>
    <row r="710" spans="1:22" ht="13.8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</row>
    <row r="711" spans="1:22" ht="13.8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</row>
    <row r="712" spans="1:22" ht="13.8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</row>
    <row r="713" spans="1:22" ht="13.8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</row>
    <row r="714" spans="1:22" ht="13.8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</row>
    <row r="715" spans="1:22" ht="13.8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</row>
    <row r="716" spans="1:22" ht="13.8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</row>
    <row r="717" spans="1:22" ht="13.8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 spans="1:22" ht="13.8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</row>
    <row r="719" spans="1:22" ht="13.8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</row>
    <row r="720" spans="1:22" ht="13.8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</row>
    <row r="721" spans="1:22" ht="13.8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</row>
    <row r="722" spans="1:22" ht="13.8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</row>
    <row r="723" spans="1:22" ht="13.8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</row>
    <row r="724" spans="1:22" ht="13.8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</row>
    <row r="725" spans="1:22" ht="13.8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</row>
    <row r="726" spans="1:22" ht="13.8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</row>
    <row r="727" spans="1:22" ht="13.8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</row>
    <row r="728" spans="1:22" ht="13.8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</row>
    <row r="729" spans="1:22" ht="13.8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</row>
    <row r="730" spans="1:22" ht="13.8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</row>
    <row r="731" spans="1:22" ht="13.8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</row>
    <row r="732" spans="1:22" ht="13.8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</row>
    <row r="733" spans="1:22" ht="13.8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</row>
    <row r="734" spans="1:22" ht="13.8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</row>
    <row r="735" spans="1:22" ht="13.8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</row>
    <row r="736" spans="1:22" ht="13.8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</row>
    <row r="737" spans="1:22" ht="13.8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</row>
    <row r="738" spans="1:22" ht="13.8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</row>
    <row r="739" spans="1:22" ht="13.8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</row>
    <row r="740" spans="1:22" ht="13.8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</row>
    <row r="741" spans="1:22" ht="13.8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</row>
    <row r="742" spans="1:22" ht="13.8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</row>
    <row r="743" spans="1:22" ht="13.8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</row>
    <row r="744" spans="1:22" ht="13.8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</row>
    <row r="745" spans="1:22" ht="13.8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</row>
    <row r="746" spans="1:22" ht="13.8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</row>
    <row r="747" spans="1:22" ht="13.8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</row>
    <row r="748" spans="1:22" ht="13.8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</row>
    <row r="749" spans="1:22" ht="13.8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</row>
    <row r="750" spans="1:22" ht="13.8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</row>
    <row r="751" spans="1:22" ht="13.8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</row>
    <row r="752" spans="1:22" ht="13.8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</row>
    <row r="753" spans="1:22" ht="13.8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</row>
    <row r="754" spans="1:22" ht="13.8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</row>
    <row r="755" spans="1:22" ht="13.8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</row>
    <row r="756" spans="1:22" ht="13.8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</row>
    <row r="757" spans="1:22" ht="13.8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</row>
    <row r="758" spans="1:22" ht="13.8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</row>
    <row r="759" spans="1:22" ht="13.8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</row>
    <row r="760" spans="1:22" ht="13.8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</row>
    <row r="761" spans="1:22" ht="13.8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</row>
    <row r="762" spans="1:22" ht="13.8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</row>
    <row r="763" spans="1:22" ht="13.8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</row>
    <row r="764" spans="1:22" ht="13.8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</row>
    <row r="765" spans="1:22" ht="13.8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</row>
    <row r="766" spans="1:22" ht="13.8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</row>
    <row r="767" spans="1:22" ht="13.8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</row>
    <row r="768" spans="1:22" ht="13.8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</row>
    <row r="769" spans="1:22" ht="13.8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</row>
    <row r="770" spans="1:22" ht="13.8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</row>
    <row r="771" spans="1:22" ht="13.8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</row>
    <row r="772" spans="1:22" ht="13.8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</row>
    <row r="773" spans="1:22" ht="13.8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</row>
    <row r="774" spans="1:22" ht="13.8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</row>
    <row r="775" spans="1:22" ht="13.8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</row>
    <row r="776" spans="1:22" ht="13.8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</row>
    <row r="777" spans="1:22" ht="13.8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</row>
    <row r="778" spans="1:22" ht="13.8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</row>
    <row r="779" spans="1:22" ht="13.8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</row>
    <row r="780" spans="1:22" ht="13.8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</row>
    <row r="781" spans="1:22" ht="13.8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</row>
    <row r="782" spans="1:22" ht="13.8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</row>
    <row r="783" spans="1:22" ht="13.8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</row>
    <row r="784" spans="1:22" ht="13.8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</row>
    <row r="785" spans="1:22" ht="13.8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</row>
    <row r="786" spans="1:22" ht="13.8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</row>
    <row r="787" spans="1:22" ht="13.8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</row>
    <row r="788" spans="1:22" ht="13.8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</row>
    <row r="789" spans="1:22" ht="13.8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</row>
    <row r="790" spans="1:22" ht="13.8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</row>
    <row r="791" spans="1:22" ht="13.8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</row>
    <row r="792" spans="1:22" ht="13.8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</row>
    <row r="793" spans="1:22" ht="13.8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</row>
    <row r="794" spans="1:22" ht="13.8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</row>
    <row r="795" spans="1:22" ht="13.8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</row>
    <row r="796" spans="1:22" ht="13.8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</row>
    <row r="797" spans="1:22" ht="13.8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</row>
    <row r="798" spans="1:22" ht="13.8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</row>
    <row r="799" spans="1:22" ht="13.8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</row>
    <row r="800" spans="1:22" ht="13.8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</row>
    <row r="801" spans="1:22" ht="13.8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</row>
    <row r="802" spans="1:22" ht="13.8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</row>
    <row r="803" spans="1:22" ht="13.8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</row>
    <row r="804" spans="1:22" ht="13.8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</row>
    <row r="805" spans="1:22" ht="13.8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</row>
    <row r="806" spans="1:22" ht="13.8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</row>
    <row r="807" spans="1:22" ht="13.8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</row>
    <row r="808" spans="1:22" ht="13.8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</row>
    <row r="809" spans="1:22" ht="13.8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</row>
    <row r="810" spans="1:22" ht="13.8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</row>
    <row r="811" spans="1:22" ht="13.8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</row>
    <row r="812" spans="1:22" ht="13.8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</row>
    <row r="813" spans="1:22" ht="13.8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</row>
    <row r="814" spans="1:22" ht="13.8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</row>
    <row r="815" spans="1:22" ht="13.8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</row>
    <row r="816" spans="1:22" ht="13.8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</row>
    <row r="817" spans="1:22" ht="13.8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</row>
    <row r="818" spans="1:22" ht="13.8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</row>
    <row r="819" spans="1:22" ht="13.8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</row>
    <row r="820" spans="1:22" ht="13.8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</row>
    <row r="821" spans="1:22" ht="13.8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</row>
    <row r="822" spans="1:22" ht="13.8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</row>
    <row r="823" spans="1:22" ht="13.8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</row>
    <row r="824" spans="1:22" ht="13.8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</row>
    <row r="825" spans="1:22" ht="13.8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</row>
    <row r="826" spans="1:22" ht="13.8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</row>
    <row r="827" spans="1:22" ht="13.8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</row>
    <row r="828" spans="1:22" ht="13.8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</row>
    <row r="829" spans="1:22" ht="13.8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</row>
    <row r="830" spans="1:22" ht="13.8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</row>
    <row r="831" spans="1:22" ht="13.8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</row>
    <row r="832" spans="1:22" ht="13.8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</row>
    <row r="833" spans="1:22" ht="13.8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</row>
    <row r="834" spans="1:22" ht="13.8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</row>
    <row r="835" spans="1:22" ht="13.8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</row>
    <row r="836" spans="1:22" ht="13.8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</row>
    <row r="837" spans="1:22" ht="13.8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</row>
    <row r="838" spans="1:22" ht="13.8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</row>
    <row r="839" spans="1:22" ht="13.8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</row>
    <row r="840" spans="1:22" ht="13.8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</row>
    <row r="841" spans="1:22" ht="13.8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</row>
    <row r="842" spans="1:22" ht="13.8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</row>
    <row r="843" spans="1:22" ht="13.8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</row>
    <row r="844" spans="1:22" ht="13.8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</row>
    <row r="845" spans="1:22" ht="13.8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</row>
    <row r="846" spans="1:22" ht="13.8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</row>
    <row r="847" spans="1:22" ht="13.8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</row>
    <row r="848" spans="1:22" ht="13.8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</row>
    <row r="849" spans="1:22" ht="13.8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</row>
    <row r="850" spans="1:22" ht="13.8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</row>
    <row r="851" spans="1:22" ht="13.8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</row>
    <row r="852" spans="1:22" ht="13.8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</row>
    <row r="853" spans="1:22" ht="13.8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</row>
    <row r="854" spans="1:22" ht="13.8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</row>
    <row r="855" spans="1:22" ht="13.8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</row>
    <row r="856" spans="1:22" ht="13.8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</row>
    <row r="857" spans="1:22" ht="13.8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</row>
    <row r="858" spans="1:22" ht="13.8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</row>
    <row r="859" spans="1:22" ht="13.8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</row>
    <row r="860" spans="1:22" ht="13.8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</row>
    <row r="861" spans="1:22" ht="13.8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</row>
    <row r="862" spans="1:22" ht="13.8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</row>
    <row r="863" spans="1:22" ht="13.8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</row>
    <row r="864" spans="1:22" ht="13.8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</row>
    <row r="865" spans="1:22" ht="13.8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</row>
    <row r="866" spans="1:22" ht="13.8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</row>
    <row r="867" spans="1:22" ht="13.8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</row>
    <row r="868" spans="1:22" ht="13.8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</row>
    <row r="869" spans="1:22" ht="13.8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</row>
    <row r="870" spans="1:22" ht="13.8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</row>
    <row r="871" spans="1:22" ht="13.8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</row>
    <row r="872" spans="1:22" ht="13.8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</row>
    <row r="873" spans="1:22" ht="13.8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</row>
    <row r="874" spans="1:22" ht="13.8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</row>
    <row r="875" spans="1:22" ht="13.8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</row>
    <row r="876" spans="1:22" ht="13.8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</row>
    <row r="877" spans="1:22" ht="13.8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</row>
    <row r="878" spans="1:22" ht="13.8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</row>
    <row r="879" spans="1:22" ht="13.8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</row>
    <row r="880" spans="1:22" ht="13.8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</row>
    <row r="881" spans="1:22" ht="13.8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</row>
    <row r="882" spans="1:22" ht="13.8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</row>
    <row r="883" spans="1:22" ht="13.8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</row>
    <row r="884" spans="1:22" ht="13.8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</row>
    <row r="885" spans="1:22" ht="13.8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</row>
    <row r="886" spans="1:22" ht="13.8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</row>
    <row r="887" spans="1:22" ht="13.8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</row>
    <row r="888" spans="1:22" ht="13.8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</row>
    <row r="889" spans="1:22" ht="13.8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</row>
    <row r="890" spans="1:22" ht="13.8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</row>
    <row r="891" spans="1:22" ht="13.8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</row>
    <row r="892" spans="1:22" ht="13.8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</row>
    <row r="893" spans="1:22" ht="13.8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</row>
    <row r="894" spans="1:22" ht="13.8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</row>
    <row r="895" spans="1:22" ht="13.8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</row>
    <row r="896" spans="1:22" ht="13.8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</row>
    <row r="897" spans="1:22" ht="13.8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</row>
    <row r="898" spans="1:22" ht="13.8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</row>
    <row r="899" spans="1:22" ht="13.8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</row>
    <row r="900" spans="1:22" ht="13.8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</row>
    <row r="901" spans="1:22" ht="13.8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</row>
    <row r="902" spans="1:22" ht="13.8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</row>
    <row r="903" spans="1:22" ht="13.8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</row>
    <row r="904" spans="1:22" ht="13.8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</row>
    <row r="905" spans="1:22" ht="13.8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</row>
    <row r="906" spans="1:22" ht="13.8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</row>
    <row r="907" spans="1:22" ht="13.8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</row>
    <row r="908" spans="1:22" ht="13.8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</row>
    <row r="909" spans="1:22" ht="13.8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</row>
    <row r="910" spans="1:22" ht="13.8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</row>
    <row r="911" spans="1:22" ht="13.8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</row>
    <row r="912" spans="1:22" ht="13.8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</row>
    <row r="913" spans="1:22" ht="13.8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</row>
    <row r="914" spans="1:22" ht="13.8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</row>
    <row r="915" spans="1:22" ht="13.8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</row>
    <row r="916" spans="1:22" ht="13.8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</row>
    <row r="917" spans="1:22" ht="13.8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</row>
    <row r="918" spans="1:22" ht="13.8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</row>
    <row r="919" spans="1:22" ht="13.8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</row>
    <row r="920" spans="1:22" ht="13.8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</row>
    <row r="921" spans="1:22" ht="13.8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</row>
    <row r="922" spans="1:22" ht="13.8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</row>
    <row r="923" spans="1:22" ht="13.8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</row>
    <row r="924" spans="1:22" ht="13.8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</row>
    <row r="925" spans="1:22" ht="13.8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</row>
    <row r="926" spans="1:22" ht="13.8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</row>
    <row r="927" spans="1:22" ht="13.8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</row>
    <row r="928" spans="1:22" ht="13.8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</row>
    <row r="929" spans="1:22" ht="13.8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</row>
    <row r="930" spans="1:22" ht="13.8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</row>
    <row r="931" spans="1:22" ht="13.8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</row>
    <row r="932" spans="1:22" ht="13.8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</row>
    <row r="933" spans="1:22" ht="13.8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</row>
    <row r="934" spans="1:22" ht="13.8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</row>
    <row r="935" spans="1:22" ht="13.8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</row>
    <row r="936" spans="1:22" ht="13.8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</row>
    <row r="937" spans="1:22" ht="13.8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</row>
    <row r="938" spans="1:22" ht="13.8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</row>
    <row r="939" spans="1:22" ht="13.8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</row>
    <row r="940" spans="1:22" ht="13.8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</row>
    <row r="941" spans="1:22" ht="13.8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</row>
    <row r="942" spans="1:22" ht="13.8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</row>
    <row r="943" spans="1:22" ht="13.8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</row>
    <row r="944" spans="1:22" ht="13.8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</row>
    <row r="945" spans="1:22" ht="13.8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</row>
    <row r="946" spans="1:22" ht="13.8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</row>
    <row r="947" spans="1:22" ht="13.8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</row>
    <row r="948" spans="1:22" ht="13.8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</row>
    <row r="949" spans="1:22" ht="13.8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</row>
    <row r="950" spans="1:22" ht="13.8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</row>
    <row r="951" spans="1:22" ht="13.8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</row>
    <row r="952" spans="1:22" ht="13.8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</row>
    <row r="953" spans="1:22" ht="13.8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</row>
    <row r="954" spans="1:22" ht="13.8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</row>
    <row r="955" spans="1:22" ht="13.8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</row>
    <row r="956" spans="1:22" ht="13.8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</row>
    <row r="957" spans="1:22" ht="13.8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</row>
    <row r="958" spans="1:22" ht="13.8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</row>
    <row r="959" spans="1:22" ht="13.8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</row>
    <row r="960" spans="1:22" ht="13.8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</row>
    <row r="961" spans="1:22" ht="13.8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</row>
    <row r="962" spans="1:22" ht="13.8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</row>
    <row r="963" spans="1:22" ht="13.8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</row>
    <row r="964" spans="1:22" ht="13.8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</row>
    <row r="965" spans="1:22" ht="13.8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</row>
    <row r="966" spans="1:22" ht="13.8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</row>
    <row r="967" spans="1:22" ht="13.8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</row>
    <row r="968" spans="1:22" ht="13.8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</row>
    <row r="969" spans="1:22" ht="13.8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</row>
    <row r="970" spans="1:22" ht="13.8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</row>
    <row r="971" spans="1:22" ht="13.8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</row>
    <row r="972" spans="1:22" ht="13.8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</row>
    <row r="973" spans="1:22" ht="13.8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</row>
    <row r="974" spans="1:22" ht="13.8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</row>
    <row r="975" spans="1:22" ht="13.8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</row>
    <row r="976" spans="1:22" ht="13.8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</row>
    <row r="977" spans="1:22" ht="13.8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</row>
    <row r="978" spans="1:22" ht="13.8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</row>
    <row r="979" spans="1:22" ht="13.8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</row>
    <row r="980" spans="1:22" ht="13.8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</row>
    <row r="981" spans="1:22" ht="13.8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</row>
    <row r="982" spans="1:22" ht="13.8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</row>
    <row r="983" spans="1:22" ht="13.8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</row>
    <row r="984" spans="1:22" ht="13.8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</row>
    <row r="985" spans="1:22" ht="13.8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</row>
    <row r="986" spans="1:22" ht="13.8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</row>
    <row r="987" spans="1:22" ht="13.8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</row>
    <row r="988" spans="1:22" ht="13.8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</row>
    <row r="989" spans="1:22" ht="13.8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</row>
    <row r="990" spans="1:22" ht="13.8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</row>
    <row r="991" spans="1:22" ht="13.8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</row>
    <row r="992" spans="1:22" ht="13.8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</row>
    <row r="993" spans="1:22" ht="13.8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</row>
    <row r="994" spans="1:22" ht="13.8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</row>
    <row r="995" spans="1:22" ht="13.8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</row>
    <row r="996" spans="1:22" ht="13.8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</row>
    <row r="997" spans="1:22" ht="13.8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</row>
    <row r="998" spans="1:22" ht="13.8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</row>
    <row r="999" spans="1:22" ht="13.8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</row>
    <row r="1000" spans="1:22" ht="13.8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</row>
  </sheetData>
  <mergeCells count="5">
    <mergeCell ref="A16:D16"/>
    <mergeCell ref="A22:D22"/>
    <mergeCell ref="A28:D28"/>
    <mergeCell ref="A40:D40"/>
    <mergeCell ref="A52:D5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4"/>
  <sheetViews>
    <sheetView topLeftCell="A60" zoomScale="67" zoomScaleNormal="100" workbookViewId="0">
      <selection activeCell="E73" sqref="E73"/>
    </sheetView>
  </sheetViews>
  <sheetFormatPr defaultColWidth="12.6640625" defaultRowHeight="13.2" x14ac:dyDescent="0.25"/>
  <cols>
    <col min="1" max="1" width="50.21875" bestFit="1" customWidth="1"/>
    <col min="2" max="4" width="8.77734375" bestFit="1" customWidth="1"/>
  </cols>
  <sheetData>
    <row r="1" spans="1:26" ht="19.2" x14ac:dyDescent="0.35">
      <c r="A1" s="6" t="s">
        <v>57</v>
      </c>
      <c r="B1" s="6"/>
      <c r="C1" s="6"/>
      <c r="D1" s="6"/>
    </row>
    <row r="2" spans="1:26" ht="13.8" x14ac:dyDescent="0.25">
      <c r="A2" s="29"/>
      <c r="B2" s="29"/>
      <c r="C2" s="29"/>
      <c r="D2" s="29"/>
    </row>
    <row r="3" spans="1:26" ht="13.8" x14ac:dyDescent="0.25">
      <c r="A3" s="30" t="s">
        <v>58</v>
      </c>
      <c r="B3" s="30" t="s">
        <v>59</v>
      </c>
      <c r="C3" s="30" t="s">
        <v>60</v>
      </c>
      <c r="D3" s="30" t="s">
        <v>61</v>
      </c>
    </row>
    <row r="4" spans="1:26" ht="13.8" x14ac:dyDescent="0.25">
      <c r="A4" s="29" t="s">
        <v>62</v>
      </c>
      <c r="B4" s="29">
        <v>503.67</v>
      </c>
      <c r="C4" s="29">
        <v>783.31</v>
      </c>
      <c r="D4" s="29">
        <v>630.51</v>
      </c>
    </row>
    <row r="5" spans="1:26" ht="13.8" x14ac:dyDescent="0.25">
      <c r="A5" s="29" t="s">
        <v>63</v>
      </c>
      <c r="B5" s="29">
        <v>27.21</v>
      </c>
      <c r="C5" s="29">
        <v>-7.2</v>
      </c>
      <c r="D5" s="29">
        <v>-73.62</v>
      </c>
    </row>
    <row r="6" spans="1:26" ht="13.8" x14ac:dyDescent="0.25">
      <c r="A6" s="29" t="s">
        <v>64</v>
      </c>
      <c r="B6" s="31">
        <v>1375.02</v>
      </c>
      <c r="C6" s="31">
        <v>1490.81</v>
      </c>
      <c r="D6" s="31">
        <v>1966.84</v>
      </c>
    </row>
    <row r="7" spans="1:26" ht="13.8" x14ac:dyDescent="0.25">
      <c r="A7" s="32" t="s">
        <v>65</v>
      </c>
      <c r="B7" s="33">
        <f>SUM(B4:B6)</f>
        <v>1905.9</v>
      </c>
      <c r="C7" s="33">
        <f>SUM(C4:C6)</f>
        <v>2266.92</v>
      </c>
      <c r="D7" s="33">
        <f>SUM(D4:D6)</f>
        <v>2523.73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3.8" x14ac:dyDescent="0.25">
      <c r="A8" s="29" t="s">
        <v>66</v>
      </c>
      <c r="B8" s="29">
        <v>677.18</v>
      </c>
      <c r="C8" s="29">
        <v>804.83</v>
      </c>
      <c r="D8" s="29">
        <v>887.41</v>
      </c>
    </row>
    <row r="9" spans="1:26" ht="13.8" x14ac:dyDescent="0.25">
      <c r="A9" s="29" t="s">
        <v>67</v>
      </c>
      <c r="B9" s="29">
        <v>170.92</v>
      </c>
      <c r="C9" s="29">
        <v>225.17</v>
      </c>
      <c r="D9" s="29">
        <v>275.87</v>
      </c>
    </row>
    <row r="10" spans="1:26" ht="13.8" x14ac:dyDescent="0.25">
      <c r="A10" s="29" t="s">
        <v>68</v>
      </c>
      <c r="B10" s="29">
        <v>-20.29</v>
      </c>
      <c r="C10" s="29">
        <v>-48.45</v>
      </c>
      <c r="D10" s="29">
        <v>-20.95</v>
      </c>
    </row>
    <row r="11" spans="1:26" ht="13.8" x14ac:dyDescent="0.25">
      <c r="A11" s="29" t="s">
        <v>69</v>
      </c>
      <c r="B11" s="29">
        <v>17.04</v>
      </c>
      <c r="C11" s="29">
        <v>23.27</v>
      </c>
      <c r="D11" s="29">
        <v>41.17</v>
      </c>
    </row>
    <row r="12" spans="1:26" ht="13.8" x14ac:dyDescent="0.25">
      <c r="A12" s="29" t="s">
        <v>70</v>
      </c>
      <c r="B12" s="29">
        <v>0</v>
      </c>
      <c r="C12" s="29">
        <v>9.57</v>
      </c>
      <c r="D12" s="29">
        <v>0</v>
      </c>
    </row>
    <row r="13" spans="1:26" ht="13.8" x14ac:dyDescent="0.25">
      <c r="A13" s="29" t="s">
        <v>71</v>
      </c>
      <c r="B13" s="29">
        <v>0.61</v>
      </c>
      <c r="C13" s="29">
        <v>0.53</v>
      </c>
      <c r="D13" s="29">
        <v>0.43</v>
      </c>
    </row>
    <row r="14" spans="1:26" ht="13.8" x14ac:dyDescent="0.25">
      <c r="A14" s="29" t="s">
        <v>72</v>
      </c>
      <c r="B14" s="29">
        <v>4.5599999999999996</v>
      </c>
      <c r="C14" s="29">
        <v>49.29</v>
      </c>
      <c r="D14" s="29">
        <v>9.31</v>
      </c>
    </row>
    <row r="15" spans="1:26" ht="13.8" x14ac:dyDescent="0.25">
      <c r="A15" s="32" t="s">
        <v>73</v>
      </c>
      <c r="B15" s="33">
        <f>SUM(B7:B14)</f>
        <v>2755.92</v>
      </c>
      <c r="C15" s="33">
        <f>SUM(C7:C14)</f>
        <v>3331.1300000000006</v>
      </c>
      <c r="D15" s="33">
        <f>SUM(D7:D14)</f>
        <v>3716.97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3.8" x14ac:dyDescent="0.25">
      <c r="A16" s="29" t="s">
        <v>74</v>
      </c>
      <c r="B16" s="29">
        <v>95.82</v>
      </c>
      <c r="C16" s="29">
        <v>-40.54</v>
      </c>
      <c r="D16" s="29">
        <v>-11.26</v>
      </c>
    </row>
    <row r="17" spans="1:26" ht="13.8" x14ac:dyDescent="0.25">
      <c r="A17" s="29" t="s">
        <v>75</v>
      </c>
      <c r="B17" s="29">
        <v>-38.68</v>
      </c>
      <c r="C17" s="29">
        <v>-6.2</v>
      </c>
      <c r="D17" s="29">
        <v>-22.53</v>
      </c>
    </row>
    <row r="18" spans="1:26" ht="13.8" x14ac:dyDescent="0.25">
      <c r="A18" s="105" t="s">
        <v>2</v>
      </c>
      <c r="B18" s="29">
        <v>200.74</v>
      </c>
      <c r="C18" s="29">
        <v>9.82</v>
      </c>
      <c r="D18" s="29">
        <v>58.04</v>
      </c>
    </row>
    <row r="19" spans="1:26" ht="13.8" x14ac:dyDescent="0.25">
      <c r="A19" s="32" t="s">
        <v>76</v>
      </c>
      <c r="B19" s="33">
        <f>B15-B18</f>
        <v>2555.1800000000003</v>
      </c>
      <c r="C19" s="33">
        <f>C15-C18</f>
        <v>3321.3100000000004</v>
      </c>
      <c r="D19" s="33">
        <f>D15-D18</f>
        <v>3658.93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3.8" x14ac:dyDescent="0.25">
      <c r="A20" s="29" t="s">
        <v>77</v>
      </c>
      <c r="B20" s="29">
        <v>660.5</v>
      </c>
      <c r="C20" s="29">
        <v>689.45</v>
      </c>
      <c r="D20" s="29">
        <v>835.18</v>
      </c>
    </row>
    <row r="21" spans="1:26" ht="13.8" x14ac:dyDescent="0.25">
      <c r="A21" s="29" t="s">
        <v>78</v>
      </c>
      <c r="B21" s="29">
        <v>3.39</v>
      </c>
      <c r="C21" s="29">
        <v>0</v>
      </c>
      <c r="D21" s="29">
        <v>0</v>
      </c>
    </row>
    <row r="22" spans="1:26" ht="13.8" x14ac:dyDescent="0.25">
      <c r="A22" s="29" t="s">
        <v>79</v>
      </c>
      <c r="B22" s="29">
        <v>-27.3</v>
      </c>
      <c r="C22" s="29">
        <v>123.57</v>
      </c>
      <c r="D22" s="29">
        <v>51.81</v>
      </c>
    </row>
    <row r="23" spans="1:26" ht="13.8" x14ac:dyDescent="0.25">
      <c r="A23" s="29" t="s">
        <v>80</v>
      </c>
      <c r="B23" s="29">
        <f>SUM(B20:B22)</f>
        <v>636.59</v>
      </c>
      <c r="C23" s="29">
        <f>SUM(C20:C22)</f>
        <v>813.02</v>
      </c>
      <c r="D23" s="29">
        <f>SUM(D20:D22)</f>
        <v>886.99</v>
      </c>
    </row>
    <row r="24" spans="1:26" ht="13.8" x14ac:dyDescent="0.25">
      <c r="A24" s="32" t="s">
        <v>81</v>
      </c>
      <c r="B24" s="33">
        <f>B19-B23</f>
        <v>1918.5900000000001</v>
      </c>
      <c r="C24" s="33">
        <f>C19-C23</f>
        <v>2508.2900000000004</v>
      </c>
      <c r="D24" s="33">
        <f>D19-D23</f>
        <v>2771.9399999999996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3.8" x14ac:dyDescent="0.25">
      <c r="A25" s="29" t="s">
        <v>82</v>
      </c>
      <c r="B25" s="29">
        <v>39.03</v>
      </c>
      <c r="C25" s="29">
        <v>50.74</v>
      </c>
      <c r="D25" s="29">
        <v>55.74</v>
      </c>
    </row>
    <row r="26" spans="1:26" ht="13.8" x14ac:dyDescent="0.25">
      <c r="A26" s="29" t="s">
        <v>83</v>
      </c>
      <c r="B26" s="29">
        <v>38.78</v>
      </c>
      <c r="C26" s="29">
        <v>50.25</v>
      </c>
      <c r="D26" s="29">
        <v>55.24</v>
      </c>
    </row>
    <row r="31" spans="1:26" ht="14.4" x14ac:dyDescent="0.3">
      <c r="A31" s="35" t="s">
        <v>84</v>
      </c>
      <c r="B31" s="35"/>
      <c r="C31" s="35"/>
      <c r="D31" s="35"/>
    </row>
    <row r="32" spans="1:26" ht="14.4" x14ac:dyDescent="0.3">
      <c r="A32" s="36" t="s">
        <v>85</v>
      </c>
      <c r="B32" s="36" t="s">
        <v>59</v>
      </c>
      <c r="C32" s="36" t="s">
        <v>60</v>
      </c>
      <c r="D32" s="36" t="s">
        <v>61</v>
      </c>
    </row>
    <row r="33" spans="1:4" ht="14.4" x14ac:dyDescent="0.3">
      <c r="A33" s="107" t="s">
        <v>62</v>
      </c>
      <c r="B33" s="107" t="s">
        <v>0</v>
      </c>
      <c r="C33" s="108">
        <f t="shared" ref="C33:D55" si="0">IF(OR(B4=0,B4*C4&lt;0),"n.m.",(C4-B4)/ABS(B4))</f>
        <v>0.55520479679154988</v>
      </c>
      <c r="D33" s="108">
        <f t="shared" si="0"/>
        <v>-0.19506964037226637</v>
      </c>
    </row>
    <row r="34" spans="1:4" ht="14.4" x14ac:dyDescent="0.3">
      <c r="A34" s="107" t="s">
        <v>63</v>
      </c>
      <c r="B34" s="107" t="s">
        <v>0</v>
      </c>
      <c r="C34" s="108" t="str">
        <f t="shared" si="0"/>
        <v>n.m.</v>
      </c>
      <c r="D34" s="108">
        <f t="shared" si="0"/>
        <v>-9.2249999999999996</v>
      </c>
    </row>
    <row r="35" spans="1:4" ht="14.4" x14ac:dyDescent="0.3">
      <c r="A35" s="107" t="s">
        <v>64</v>
      </c>
      <c r="B35" s="107" t="s">
        <v>0</v>
      </c>
      <c r="C35" s="108">
        <f t="shared" si="0"/>
        <v>8.4209684222774916E-2</v>
      </c>
      <c r="D35" s="108">
        <f t="shared" si="0"/>
        <v>0.31930963704294979</v>
      </c>
    </row>
    <row r="36" spans="1:4" ht="14.4" x14ac:dyDescent="0.3">
      <c r="A36" s="106" t="s">
        <v>65</v>
      </c>
      <c r="B36" s="106" t="s">
        <v>0</v>
      </c>
      <c r="C36" s="108">
        <f t="shared" si="0"/>
        <v>0.18942232016370217</v>
      </c>
      <c r="D36" s="108">
        <f t="shared" si="0"/>
        <v>0.11328586805004144</v>
      </c>
    </row>
    <row r="37" spans="1:4" ht="14.4" x14ac:dyDescent="0.3">
      <c r="A37" s="107" t="s">
        <v>66</v>
      </c>
      <c r="B37" s="107" t="s">
        <v>0</v>
      </c>
      <c r="C37" s="108">
        <f t="shared" si="0"/>
        <v>0.18850231843822929</v>
      </c>
      <c r="D37" s="108">
        <f t="shared" si="0"/>
        <v>0.10260551917796296</v>
      </c>
    </row>
    <row r="38" spans="1:4" ht="14.4" x14ac:dyDescent="0.3">
      <c r="A38" s="107" t="s">
        <v>67</v>
      </c>
      <c r="B38" s="107" t="s">
        <v>0</v>
      </c>
      <c r="C38" s="108">
        <f t="shared" si="0"/>
        <v>0.31739995319447695</v>
      </c>
      <c r="D38" s="108">
        <f t="shared" si="0"/>
        <v>0.22516321001909678</v>
      </c>
    </row>
    <row r="39" spans="1:4" ht="14.4" x14ac:dyDescent="0.3">
      <c r="A39" s="107" t="s">
        <v>68</v>
      </c>
      <c r="B39" s="107" t="s">
        <v>0</v>
      </c>
      <c r="C39" s="108">
        <f t="shared" si="0"/>
        <v>-1.3878758008871368</v>
      </c>
      <c r="D39" s="108">
        <f t="shared" si="0"/>
        <v>0.56759545923632615</v>
      </c>
    </row>
    <row r="40" spans="1:4" ht="14.4" x14ac:dyDescent="0.3">
      <c r="A40" s="107" t="s">
        <v>69</v>
      </c>
      <c r="B40" s="107" t="s">
        <v>0</v>
      </c>
      <c r="C40" s="108">
        <f t="shared" si="0"/>
        <v>0.36561032863849768</v>
      </c>
      <c r="D40" s="108">
        <f t="shared" si="0"/>
        <v>0.76923076923076938</v>
      </c>
    </row>
    <row r="41" spans="1:4" ht="14.4" x14ac:dyDescent="0.3">
      <c r="A41" s="107" t="s">
        <v>70</v>
      </c>
      <c r="B41" s="107" t="s">
        <v>0</v>
      </c>
      <c r="C41" s="108" t="str">
        <f t="shared" si="0"/>
        <v>n.m.</v>
      </c>
      <c r="D41" s="108">
        <f t="shared" si="0"/>
        <v>-1</v>
      </c>
    </row>
    <row r="42" spans="1:4" ht="14.4" x14ac:dyDescent="0.3">
      <c r="A42" s="107" t="s">
        <v>71</v>
      </c>
      <c r="B42" s="107" t="s">
        <v>0</v>
      </c>
      <c r="C42" s="108">
        <f t="shared" si="0"/>
        <v>-0.13114754098360648</v>
      </c>
      <c r="D42" s="108">
        <f t="shared" si="0"/>
        <v>-0.18867924528301891</v>
      </c>
    </row>
    <row r="43" spans="1:4" ht="14.4" x14ac:dyDescent="0.3">
      <c r="A43" s="107" t="s">
        <v>72</v>
      </c>
      <c r="B43" s="107" t="s">
        <v>0</v>
      </c>
      <c r="C43" s="108">
        <f t="shared" si="0"/>
        <v>9.8092105263157894</v>
      </c>
      <c r="D43" s="108">
        <f t="shared" si="0"/>
        <v>-0.81111787380807465</v>
      </c>
    </row>
    <row r="44" spans="1:4" ht="14.4" x14ac:dyDescent="0.3">
      <c r="A44" s="106" t="s">
        <v>73</v>
      </c>
      <c r="B44" s="106" t="s">
        <v>0</v>
      </c>
      <c r="C44" s="108">
        <f t="shared" si="0"/>
        <v>0.20871795988272537</v>
      </c>
      <c r="D44" s="108">
        <f t="shared" si="0"/>
        <v>0.11582856267993119</v>
      </c>
    </row>
    <row r="45" spans="1:4" ht="14.4" x14ac:dyDescent="0.3">
      <c r="A45" s="107" t="s">
        <v>74</v>
      </c>
      <c r="B45" s="107" t="s">
        <v>0</v>
      </c>
      <c r="C45" s="108" t="str">
        <f t="shared" si="0"/>
        <v>n.m.</v>
      </c>
      <c r="D45" s="108">
        <f t="shared" si="0"/>
        <v>0.72224962999506659</v>
      </c>
    </row>
    <row r="46" spans="1:4" ht="14.4" x14ac:dyDescent="0.3">
      <c r="A46" s="107" t="s">
        <v>75</v>
      </c>
      <c r="B46" s="107" t="s">
        <v>0</v>
      </c>
      <c r="C46" s="108">
        <f t="shared" si="0"/>
        <v>0.83971044467425016</v>
      </c>
      <c r="D46" s="108">
        <f t="shared" si="0"/>
        <v>-2.6338709677419359</v>
      </c>
    </row>
    <row r="47" spans="1:4" ht="14.4" x14ac:dyDescent="0.3">
      <c r="A47" s="107" t="s">
        <v>1</v>
      </c>
      <c r="B47" s="107" t="s">
        <v>0</v>
      </c>
      <c r="C47" s="108">
        <f t="shared" si="0"/>
        <v>-0.95108100029889409</v>
      </c>
      <c r="D47" s="108">
        <f t="shared" si="0"/>
        <v>4.910386965376782</v>
      </c>
    </row>
    <row r="48" spans="1:4" ht="14.4" x14ac:dyDescent="0.3">
      <c r="A48" s="106" t="s">
        <v>76</v>
      </c>
      <c r="B48" s="106" t="s">
        <v>0</v>
      </c>
      <c r="C48" s="108">
        <f t="shared" si="0"/>
        <v>0.29983406257093437</v>
      </c>
      <c r="D48" s="108">
        <f t="shared" si="0"/>
        <v>0.10165266114876341</v>
      </c>
    </row>
    <row r="49" spans="1:4" ht="14.4" x14ac:dyDescent="0.3">
      <c r="A49" s="107" t="s">
        <v>77</v>
      </c>
      <c r="B49" s="107" t="s">
        <v>0</v>
      </c>
      <c r="C49" s="108">
        <f t="shared" si="0"/>
        <v>4.3830431491294543E-2</v>
      </c>
      <c r="D49" s="108">
        <f t="shared" si="0"/>
        <v>0.21137138298643832</v>
      </c>
    </row>
    <row r="50" spans="1:4" ht="14.4" x14ac:dyDescent="0.3">
      <c r="A50" s="107" t="s">
        <v>78</v>
      </c>
      <c r="B50" s="107" t="s">
        <v>0</v>
      </c>
      <c r="C50" s="108">
        <f t="shared" si="0"/>
        <v>-1</v>
      </c>
      <c r="D50" s="108" t="str">
        <f t="shared" si="0"/>
        <v>n.m.</v>
      </c>
    </row>
    <row r="51" spans="1:4" ht="14.4" x14ac:dyDescent="0.3">
      <c r="A51" s="107" t="s">
        <v>79</v>
      </c>
      <c r="B51" s="107" t="s">
        <v>0</v>
      </c>
      <c r="C51" s="108" t="str">
        <f t="shared" si="0"/>
        <v>n.m.</v>
      </c>
      <c r="D51" s="108">
        <f t="shared" si="0"/>
        <v>-0.58072347657198342</v>
      </c>
    </row>
    <row r="52" spans="1:4" ht="14.4" x14ac:dyDescent="0.3">
      <c r="A52" s="106" t="s">
        <v>80</v>
      </c>
      <c r="B52" s="106" t="s">
        <v>0</v>
      </c>
      <c r="C52" s="108">
        <f t="shared" si="0"/>
        <v>0.27714855715609726</v>
      </c>
      <c r="D52" s="109">
        <f t="shared" si="0"/>
        <v>9.0981771666133707E-2</v>
      </c>
    </row>
    <row r="53" spans="1:4" ht="14.4" x14ac:dyDescent="0.3">
      <c r="A53" s="106" t="s">
        <v>81</v>
      </c>
      <c r="B53" s="106" t="s">
        <v>0</v>
      </c>
      <c r="C53" s="108">
        <f t="shared" si="0"/>
        <v>0.30736113500018253</v>
      </c>
      <c r="D53" s="109">
        <f t="shared" si="0"/>
        <v>0.10511145043037254</v>
      </c>
    </row>
    <row r="54" spans="1:4" ht="14.4" x14ac:dyDescent="0.3">
      <c r="A54" s="107" t="s">
        <v>82</v>
      </c>
      <c r="B54" s="107" t="s">
        <v>0</v>
      </c>
      <c r="C54" s="108">
        <f t="shared" si="0"/>
        <v>0.30002562131693572</v>
      </c>
      <c r="D54" s="108">
        <f t="shared" si="0"/>
        <v>9.8541584548679534E-2</v>
      </c>
    </row>
    <row r="55" spans="1:4" ht="14.4" x14ac:dyDescent="0.3">
      <c r="A55" s="107" t="s">
        <v>83</v>
      </c>
      <c r="B55" s="107" t="s">
        <v>0</v>
      </c>
      <c r="C55" s="108">
        <f t="shared" si="0"/>
        <v>0.29577101598762245</v>
      </c>
      <c r="D55" s="108">
        <f t="shared" si="0"/>
        <v>9.9303482587064715E-2</v>
      </c>
    </row>
    <row r="56" spans="1:4" ht="14.4" x14ac:dyDescent="0.3">
      <c r="A56" s="39"/>
      <c r="B56" s="39"/>
      <c r="C56" s="39"/>
      <c r="D56" s="39"/>
    </row>
    <row r="57" spans="1:4" ht="14.4" x14ac:dyDescent="0.3">
      <c r="A57" s="39"/>
      <c r="B57" s="39"/>
      <c r="C57" s="39"/>
      <c r="D57" s="39"/>
    </row>
    <row r="58" spans="1:4" ht="14.4" x14ac:dyDescent="0.3">
      <c r="A58" s="35" t="s">
        <v>86</v>
      </c>
      <c r="B58" s="35"/>
      <c r="C58" s="35"/>
      <c r="D58" s="35"/>
    </row>
    <row r="59" spans="1:4" ht="14.4" x14ac:dyDescent="0.3">
      <c r="A59" s="40" t="s">
        <v>85</v>
      </c>
      <c r="B59" s="40" t="s">
        <v>59</v>
      </c>
      <c r="C59" s="40" t="s">
        <v>60</v>
      </c>
      <c r="D59" s="40" t="s">
        <v>61</v>
      </c>
    </row>
    <row r="60" spans="1:4" ht="14.4" x14ac:dyDescent="0.3">
      <c r="A60" s="37" t="s">
        <v>62</v>
      </c>
      <c r="B60" s="38">
        <f t="shared" ref="B60:B80" si="1">B4/$B$15</f>
        <v>0.18275929635112775</v>
      </c>
      <c r="C60" s="38">
        <f t="shared" ref="C60:C80" si="2">C4/$C$15</f>
        <v>0.23514843311428849</v>
      </c>
      <c r="D60" s="38">
        <f t="shared" ref="D60:D80" si="3">D4/$D$15</f>
        <v>0.16963010193786876</v>
      </c>
    </row>
    <row r="61" spans="1:4" ht="14.4" x14ac:dyDescent="0.3">
      <c r="A61" s="37" t="s">
        <v>63</v>
      </c>
      <c r="B61" s="38">
        <f t="shared" si="1"/>
        <v>9.8732909518418534E-3</v>
      </c>
      <c r="C61" s="38">
        <f t="shared" si="2"/>
        <v>-2.1614287043735907E-3</v>
      </c>
      <c r="D61" s="38">
        <f t="shared" si="3"/>
        <v>-1.9806455257911689E-2</v>
      </c>
    </row>
    <row r="62" spans="1:4" ht="14.4" x14ac:dyDescent="0.3">
      <c r="A62" s="37" t="s">
        <v>64</v>
      </c>
      <c r="B62" s="38">
        <f t="shared" si="1"/>
        <v>0.49893320560829052</v>
      </c>
      <c r="C62" s="38">
        <f t="shared" si="2"/>
        <v>0.44753882316211008</v>
      </c>
      <c r="D62" s="38">
        <f t="shared" si="3"/>
        <v>0.52915143248398566</v>
      </c>
    </row>
    <row r="63" spans="1:4" ht="14.4" x14ac:dyDescent="0.3">
      <c r="A63" s="35" t="s">
        <v>65</v>
      </c>
      <c r="B63" s="38">
        <f t="shared" si="1"/>
        <v>0.69156579291126019</v>
      </c>
      <c r="C63" s="38">
        <f t="shared" si="2"/>
        <v>0.68052582757202507</v>
      </c>
      <c r="D63" s="38">
        <f t="shared" si="3"/>
        <v>0.67897507916394273</v>
      </c>
    </row>
    <row r="64" spans="1:4" ht="14.4" x14ac:dyDescent="0.3">
      <c r="A64" s="37" t="s">
        <v>66</v>
      </c>
      <c r="B64" s="38">
        <f t="shared" si="1"/>
        <v>0.24571830822375101</v>
      </c>
      <c r="C64" s="38">
        <f t="shared" si="2"/>
        <v>0.24160870335291626</v>
      </c>
      <c r="D64" s="38">
        <f t="shared" si="3"/>
        <v>0.2387455373597312</v>
      </c>
    </row>
    <row r="65" spans="1:4" ht="14.4" x14ac:dyDescent="0.3">
      <c r="A65" s="37" t="s">
        <v>67</v>
      </c>
      <c r="B65" s="38">
        <f t="shared" si="1"/>
        <v>6.2019216813260176E-2</v>
      </c>
      <c r="C65" s="38">
        <f t="shared" si="2"/>
        <v>6.7595680744972408E-2</v>
      </c>
      <c r="D65" s="38">
        <f t="shared" si="3"/>
        <v>7.4219054767727485E-2</v>
      </c>
    </row>
    <row r="66" spans="1:4" ht="14.4" x14ac:dyDescent="0.3">
      <c r="A66" s="37" t="s">
        <v>68</v>
      </c>
      <c r="B66" s="38">
        <f t="shared" si="1"/>
        <v>-7.3623327237365378E-3</v>
      </c>
      <c r="C66" s="38">
        <f t="shared" si="2"/>
        <v>-1.4544613989847287E-2</v>
      </c>
      <c r="D66" s="38">
        <f t="shared" si="3"/>
        <v>-5.6363112965668273E-3</v>
      </c>
    </row>
    <row r="67" spans="1:4" ht="14.4" x14ac:dyDescent="0.3">
      <c r="A67" s="37" t="s">
        <v>69</v>
      </c>
      <c r="B67" s="38">
        <f t="shared" si="1"/>
        <v>6.1830532090917005E-3</v>
      </c>
      <c r="C67" s="38">
        <f t="shared" si="2"/>
        <v>6.9856174931629796E-3</v>
      </c>
      <c r="D67" s="38">
        <f t="shared" si="3"/>
        <v>1.1076226065854716E-2</v>
      </c>
    </row>
    <row r="68" spans="1:4" ht="14.4" x14ac:dyDescent="0.3">
      <c r="A68" s="37" t="s">
        <v>70</v>
      </c>
      <c r="B68" s="38">
        <f t="shared" si="1"/>
        <v>0</v>
      </c>
      <c r="C68" s="38">
        <f t="shared" si="2"/>
        <v>2.8728989862298977E-3</v>
      </c>
      <c r="D68" s="38">
        <f t="shared" si="3"/>
        <v>0</v>
      </c>
    </row>
    <row r="69" spans="1:4" ht="14.4" x14ac:dyDescent="0.3">
      <c r="A69" s="37" t="s">
        <v>71</v>
      </c>
      <c r="B69" s="38">
        <f t="shared" si="1"/>
        <v>2.2134169351795406E-4</v>
      </c>
      <c r="C69" s="38">
        <f t="shared" si="2"/>
        <v>1.5910516851638931E-4</v>
      </c>
      <c r="D69" s="38">
        <f t="shared" si="3"/>
        <v>1.1568562565745755E-4</v>
      </c>
    </row>
    <row r="70" spans="1:4" ht="14.4" x14ac:dyDescent="0.3">
      <c r="A70" s="37" t="s">
        <v>72</v>
      </c>
      <c r="B70" s="38">
        <f t="shared" si="1"/>
        <v>1.6546198728555255E-3</v>
      </c>
      <c r="C70" s="38">
        <f t="shared" si="2"/>
        <v>1.4796780672024206E-2</v>
      </c>
      <c r="D70" s="38">
        <f t="shared" si="3"/>
        <v>2.5047283136533254E-3</v>
      </c>
    </row>
    <row r="71" spans="1:4" ht="14.4" x14ac:dyDescent="0.3">
      <c r="A71" s="35" t="s">
        <v>73</v>
      </c>
      <c r="B71" s="38">
        <f t="shared" si="1"/>
        <v>1</v>
      </c>
      <c r="C71" s="38">
        <f t="shared" si="2"/>
        <v>1</v>
      </c>
      <c r="D71" s="38">
        <f t="shared" si="3"/>
        <v>1</v>
      </c>
    </row>
    <row r="72" spans="1:4" ht="14.4" x14ac:dyDescent="0.3">
      <c r="A72" s="37" t="s">
        <v>74</v>
      </c>
      <c r="B72" s="38">
        <f t="shared" si="1"/>
        <v>3.4768788644082553E-2</v>
      </c>
      <c r="C72" s="38">
        <f t="shared" si="2"/>
        <v>-1.2170044399347968E-2</v>
      </c>
      <c r="D72" s="38">
        <f t="shared" si="3"/>
        <v>-3.0293491741929584E-3</v>
      </c>
    </row>
    <row r="73" spans="1:4" ht="14.4" x14ac:dyDescent="0.3">
      <c r="A73" s="37" t="s">
        <v>75</v>
      </c>
      <c r="B73" s="38">
        <f t="shared" si="1"/>
        <v>-1.4035240500449939E-2</v>
      </c>
      <c r="C73" s="38">
        <f t="shared" si="2"/>
        <v>-1.8612302732105919E-3</v>
      </c>
      <c r="D73" s="38">
        <f t="shared" si="3"/>
        <v>-6.0613887117733E-3</v>
      </c>
    </row>
    <row r="74" spans="1:4" ht="14.4" x14ac:dyDescent="0.3">
      <c r="A74" s="37" t="s">
        <v>1</v>
      </c>
      <c r="B74" s="38">
        <f t="shared" si="1"/>
        <v>7.2839559929170655E-2</v>
      </c>
      <c r="C74" s="38">
        <f t="shared" si="2"/>
        <v>2.9479485940206471E-3</v>
      </c>
      <c r="D74" s="38">
        <f t="shared" si="3"/>
        <v>1.5614869100369388E-2</v>
      </c>
    </row>
    <row r="75" spans="1:4" ht="14.4" x14ac:dyDescent="0.3">
      <c r="A75" s="35" t="s">
        <v>76</v>
      </c>
      <c r="B75" s="38">
        <f t="shared" si="1"/>
        <v>0.92716044007082943</v>
      </c>
      <c r="C75" s="38">
        <f t="shared" si="2"/>
        <v>0.9970520514059793</v>
      </c>
      <c r="D75" s="38">
        <f t="shared" si="3"/>
        <v>0.98438513089963064</v>
      </c>
    </row>
    <row r="76" spans="1:4" ht="14.4" x14ac:dyDescent="0.3">
      <c r="A76" s="37" t="s">
        <v>77</v>
      </c>
      <c r="B76" s="38">
        <f t="shared" si="1"/>
        <v>0.23966588289935847</v>
      </c>
      <c r="C76" s="38">
        <f t="shared" si="2"/>
        <v>0.20697180836532947</v>
      </c>
      <c r="D76" s="38">
        <f t="shared" si="3"/>
        <v>0.22469376938743116</v>
      </c>
    </row>
    <row r="77" spans="1:4" ht="14.4" x14ac:dyDescent="0.3">
      <c r="A77" s="37" t="s">
        <v>78</v>
      </c>
      <c r="B77" s="38">
        <f t="shared" si="1"/>
        <v>1.2300792475833842E-3</v>
      </c>
      <c r="C77" s="38">
        <f t="shared" si="2"/>
        <v>0</v>
      </c>
      <c r="D77" s="38">
        <f t="shared" si="3"/>
        <v>0</v>
      </c>
    </row>
    <row r="78" spans="1:4" ht="14.4" x14ac:dyDescent="0.3">
      <c r="A78" s="37" t="s">
        <v>79</v>
      </c>
      <c r="B78" s="38">
        <f t="shared" si="1"/>
        <v>-9.9059479230166336E-3</v>
      </c>
      <c r="C78" s="38">
        <f t="shared" si="2"/>
        <v>3.7095520138811747E-2</v>
      </c>
      <c r="D78" s="38">
        <f t="shared" si="3"/>
        <v>1.3938772710029945E-2</v>
      </c>
    </row>
    <row r="79" spans="1:4" ht="14.4" x14ac:dyDescent="0.3">
      <c r="A79" s="35" t="s">
        <v>80</v>
      </c>
      <c r="B79" s="38">
        <f t="shared" si="1"/>
        <v>0.23099001422392523</v>
      </c>
      <c r="C79" s="38">
        <f t="shared" si="2"/>
        <v>0.2440673285041412</v>
      </c>
      <c r="D79" s="38">
        <f t="shared" si="3"/>
        <v>0.23863254209746113</v>
      </c>
    </row>
    <row r="80" spans="1:4" ht="14.4" x14ac:dyDescent="0.3">
      <c r="A80" s="35" t="s">
        <v>81</v>
      </c>
      <c r="B80" s="38">
        <f t="shared" si="1"/>
        <v>0.69617042584690414</v>
      </c>
      <c r="C80" s="38">
        <f t="shared" si="2"/>
        <v>0.75298472290183815</v>
      </c>
      <c r="D80" s="38">
        <f t="shared" si="3"/>
        <v>0.74575258880216944</v>
      </c>
    </row>
    <row r="81" spans="1:4" ht="14.4" x14ac:dyDescent="0.3">
      <c r="A81" s="107" t="s">
        <v>82</v>
      </c>
      <c r="B81" s="108" t="s">
        <v>3</v>
      </c>
      <c r="C81" s="108" t="s">
        <v>3</v>
      </c>
      <c r="D81" s="108" t="s">
        <v>3</v>
      </c>
    </row>
    <row r="82" spans="1:4" ht="14.4" x14ac:dyDescent="0.3">
      <c r="A82" s="107" t="s">
        <v>83</v>
      </c>
      <c r="B82" s="108" t="s">
        <v>3</v>
      </c>
      <c r="C82" s="108" t="s">
        <v>3</v>
      </c>
      <c r="D82" s="108" t="s">
        <v>3</v>
      </c>
    </row>
    <row r="83" spans="1:4" ht="14.4" x14ac:dyDescent="0.3">
      <c r="A83" s="37"/>
      <c r="B83" s="37"/>
      <c r="C83" s="37"/>
      <c r="D83" s="37"/>
    </row>
    <row r="84" spans="1:4" ht="14.4" x14ac:dyDescent="0.3">
      <c r="A84" s="37"/>
      <c r="B84" s="37"/>
      <c r="C84" s="37"/>
      <c r="D84" s="37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BW1" zoomScaleNormal="100" workbookViewId="0">
      <selection activeCell="D21" sqref="D21"/>
    </sheetView>
  </sheetViews>
  <sheetFormatPr defaultColWidth="12.6640625" defaultRowHeight="13.2" x14ac:dyDescent="0.25"/>
  <cols>
    <col min="1" max="1" width="57.109375" customWidth="1"/>
  </cols>
  <sheetData>
    <row r="1" spans="1:26" ht="16.8" x14ac:dyDescent="0.3">
      <c r="A1" s="5" t="s">
        <v>87</v>
      </c>
      <c r="B1" s="5"/>
      <c r="C1" s="5"/>
      <c r="D1" s="5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6.8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6.8" x14ac:dyDescent="0.3">
      <c r="A3" s="20"/>
      <c r="B3" s="42" t="s">
        <v>59</v>
      </c>
      <c r="C3" s="42" t="s">
        <v>60</v>
      </c>
      <c r="D3" s="42" t="s">
        <v>61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6.8" x14ac:dyDescent="0.3">
      <c r="A4" s="17" t="s">
        <v>88</v>
      </c>
      <c r="B4" s="43" t="s">
        <v>0</v>
      </c>
      <c r="C4" s="44">
        <f>(C7-B7)/B7</f>
        <v>8.3023894091055858E-2</v>
      </c>
      <c r="D4" s="44">
        <f>(D7-C7)/C7</f>
        <v>7.0025714605150377E-2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6.8" x14ac:dyDescent="0.3">
      <c r="A5" s="17" t="s">
        <v>89</v>
      </c>
      <c r="B5" s="43" t="s">
        <v>0</v>
      </c>
      <c r="C5" s="44">
        <f>(C8-B8)/B8</f>
        <v>0.30736113500018253</v>
      </c>
      <c r="D5" s="44">
        <f>(D8-C8)/C8</f>
        <v>0.10511145043037254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6.8" x14ac:dyDescent="0.3">
      <c r="A6" s="17" t="s">
        <v>90</v>
      </c>
      <c r="B6" s="43" t="s">
        <v>0</v>
      </c>
      <c r="C6" s="44">
        <f>('Profit &amp; Loss Account'!C7-'Profit &amp; Loss Account'!B7)/'Profit &amp; Loss Account'!B7</f>
        <v>0.18942232016370217</v>
      </c>
      <c r="D6" s="44">
        <f>('Profit &amp; Loss Account'!D7-'Profit &amp; Loss Account'!C7)/'Profit &amp; Loss Account'!C7</f>
        <v>0.11328586805004144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6.8" x14ac:dyDescent="0.3">
      <c r="A7" s="17" t="s">
        <v>91</v>
      </c>
      <c r="B7" s="45">
        <v>24776</v>
      </c>
      <c r="C7" s="45">
        <v>26833</v>
      </c>
      <c r="D7" s="45">
        <v>28712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6.8" x14ac:dyDescent="0.3">
      <c r="A8" s="17" t="s">
        <v>92</v>
      </c>
      <c r="B8" s="45">
        <f>'Profit &amp; Loss Account'!B24</f>
        <v>1918.5900000000001</v>
      </c>
      <c r="C8" s="45">
        <f>'Profit &amp; Loss Account'!C24</f>
        <v>2508.2900000000004</v>
      </c>
      <c r="D8" s="45">
        <f>'Profit &amp; Loss Account'!D24</f>
        <v>2771.9399999999996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6.8" x14ac:dyDescent="0.3">
      <c r="A9" s="17" t="s">
        <v>93</v>
      </c>
      <c r="B9" s="43">
        <f>'Profit &amp; Loss Account'!B25</f>
        <v>39.03</v>
      </c>
      <c r="C9" s="43">
        <f>'Profit &amp; Loss Account'!C25</f>
        <v>50.74</v>
      </c>
      <c r="D9" s="43">
        <f>'Profit &amp; Loss Account'!D25</f>
        <v>55.74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6.8" x14ac:dyDescent="0.3">
      <c r="A10" s="17" t="s">
        <v>94</v>
      </c>
      <c r="B10" s="46">
        <v>0.17199999999999999</v>
      </c>
      <c r="C10" s="46">
        <v>0.191</v>
      </c>
      <c r="D10" s="46">
        <v>0.17799999999999999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6.8" x14ac:dyDescent="0.3">
      <c r="A11" s="20" t="s">
        <v>95</v>
      </c>
      <c r="B11" s="46">
        <v>1.0329999999999999</v>
      </c>
      <c r="C11" s="46">
        <v>1.028</v>
      </c>
      <c r="D11" s="46">
        <v>1.034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6.8" x14ac:dyDescent="0.3">
      <c r="A12" s="110" t="s">
        <v>96</v>
      </c>
      <c r="B12" s="111">
        <v>2.62</v>
      </c>
      <c r="C12" s="111">
        <v>2.69</v>
      </c>
      <c r="D12" s="111">
        <v>2.67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6.8" x14ac:dyDescent="0.3">
      <c r="A13" s="112" t="s">
        <v>4</v>
      </c>
      <c r="B13" s="113">
        <v>0.70799999999999996</v>
      </c>
      <c r="C13" s="113">
        <v>0.70599999999999996</v>
      </c>
      <c r="D13" s="113">
        <v>0.71099999999999997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6.8" x14ac:dyDescent="0.3">
      <c r="A14" s="112" t="s">
        <v>5</v>
      </c>
      <c r="B14" s="113">
        <v>0.29799999999999999</v>
      </c>
      <c r="C14" s="113">
        <v>0.308</v>
      </c>
      <c r="D14" s="113">
        <v>0.32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6.8" x14ac:dyDescent="0.3">
      <c r="A15" s="110" t="s">
        <v>6</v>
      </c>
      <c r="B15" s="113">
        <v>0.17</v>
      </c>
      <c r="C15" s="113">
        <v>0.185</v>
      </c>
      <c r="D15" s="113">
        <v>0.19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6.8" x14ac:dyDescent="0.3">
      <c r="A16" s="110" t="s">
        <v>7</v>
      </c>
      <c r="B16" s="113">
        <v>0.112</v>
      </c>
      <c r="C16" s="113">
        <v>0.114</v>
      </c>
      <c r="D16" s="113">
        <v>0.11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6.8" x14ac:dyDescent="0.3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6.8" x14ac:dyDescent="0.3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6.8" x14ac:dyDescent="0.3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6.8" x14ac:dyDescent="0.3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6.8" x14ac:dyDescent="0.3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6.8" x14ac:dyDescent="0.3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6.8" x14ac:dyDescent="0.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6.8" x14ac:dyDescent="0.3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6.8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6.8" x14ac:dyDescent="0.3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6.8" x14ac:dyDescent="0.3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6.8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6.8" x14ac:dyDescent="0.3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6.8" x14ac:dyDescent="0.3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6.8" x14ac:dyDescent="0.3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6.8" x14ac:dyDescent="0.3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6.8" x14ac:dyDescent="0.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6.8" x14ac:dyDescent="0.3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6.8" x14ac:dyDescent="0.3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6.8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6.8" x14ac:dyDescent="0.3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6.8" x14ac:dyDescent="0.3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6.8" x14ac:dyDescent="0.3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6.8" x14ac:dyDescent="0.3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6.8" x14ac:dyDescent="0.3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6.8" x14ac:dyDescent="0.3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6.8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6.8" x14ac:dyDescent="0.3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6.8" x14ac:dyDescent="0.3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6.8" x14ac:dyDescent="0.3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6.8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6.8" x14ac:dyDescent="0.3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16.8" x14ac:dyDescent="0.3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6.8" x14ac:dyDescent="0.3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6.8" x14ac:dyDescent="0.3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6.8" x14ac:dyDescent="0.3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6.8" x14ac:dyDescent="0.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6.8" x14ac:dyDescent="0.3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6.8" x14ac:dyDescent="0.3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16.8" x14ac:dyDescent="0.3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16.8" x14ac:dyDescent="0.3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16.8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16.8" x14ac:dyDescent="0.3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6.8" x14ac:dyDescent="0.3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6.8" x14ac:dyDescent="0.3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6.8" x14ac:dyDescent="0.3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16.8" x14ac:dyDescent="0.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16.8" x14ac:dyDescent="0.3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16.8" x14ac:dyDescent="0.3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16.8" x14ac:dyDescent="0.3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16.8" x14ac:dyDescent="0.3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16.8" x14ac:dyDescent="0.3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16.8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16.8" x14ac:dyDescent="0.3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16.8" x14ac:dyDescent="0.3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16.8" x14ac:dyDescent="0.3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16.8" x14ac:dyDescent="0.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6.8" x14ac:dyDescent="0.3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6.8" x14ac:dyDescent="0.3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6.8" x14ac:dyDescent="0.3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6.8" x14ac:dyDescent="0.3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16.8" x14ac:dyDescent="0.3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6.8" x14ac:dyDescent="0.3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16.8" x14ac:dyDescent="0.3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16.8" x14ac:dyDescent="0.3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16.8" x14ac:dyDescent="0.3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16.8" x14ac:dyDescent="0.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16.8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16.8" x14ac:dyDescent="0.3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16.8" x14ac:dyDescent="0.3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16.8" x14ac:dyDescent="0.3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16.8" x14ac:dyDescent="0.3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16.8" x14ac:dyDescent="0.3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16.8" x14ac:dyDescent="0.3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16.8" x14ac:dyDescent="0.3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16.8" x14ac:dyDescent="0.3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16.8" x14ac:dyDescent="0.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16.8" x14ac:dyDescent="0.3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16.8" x14ac:dyDescent="0.3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16.8" x14ac:dyDescent="0.3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16.8" x14ac:dyDescent="0.3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16.8" x14ac:dyDescent="0.3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16.8" x14ac:dyDescent="0.3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16.8" x14ac:dyDescent="0.3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16.8" x14ac:dyDescent="0.3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16.8" x14ac:dyDescent="0.3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16.8" x14ac:dyDescent="0.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16.8" x14ac:dyDescent="0.3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16.8" x14ac:dyDescent="0.3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16.8" x14ac:dyDescent="0.3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16.8" x14ac:dyDescent="0.3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16.8" x14ac:dyDescent="0.3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16.8" x14ac:dyDescent="0.3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16.8" x14ac:dyDescent="0.3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16.8" x14ac:dyDescent="0.3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16.8" x14ac:dyDescent="0.3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16.8" x14ac:dyDescent="0.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16.8" x14ac:dyDescent="0.3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16.8" x14ac:dyDescent="0.3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16.8" x14ac:dyDescent="0.3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16.8" x14ac:dyDescent="0.3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16.8" x14ac:dyDescent="0.3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16.8" x14ac:dyDescent="0.3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16.8" x14ac:dyDescent="0.3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16.8" x14ac:dyDescent="0.3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16.8" x14ac:dyDescent="0.3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16.8" x14ac:dyDescent="0.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16.8" x14ac:dyDescent="0.3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16.8" x14ac:dyDescent="0.3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16.8" x14ac:dyDescent="0.3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16.8" x14ac:dyDescent="0.3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16.8" x14ac:dyDescent="0.3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16.8" x14ac:dyDescent="0.3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16.8" x14ac:dyDescent="0.3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16.8" x14ac:dyDescent="0.3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16.8" x14ac:dyDescent="0.3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16.8" x14ac:dyDescent="0.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16.8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16.8" x14ac:dyDescent="0.3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16.8" x14ac:dyDescent="0.3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16.8" x14ac:dyDescent="0.3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16.8" x14ac:dyDescent="0.3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16.8" x14ac:dyDescent="0.3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16.8" x14ac:dyDescent="0.3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16.8" x14ac:dyDescent="0.3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16.8" x14ac:dyDescent="0.3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16.8" x14ac:dyDescent="0.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16.8" x14ac:dyDescent="0.3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16.8" x14ac:dyDescent="0.3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16.8" x14ac:dyDescent="0.3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16.8" x14ac:dyDescent="0.3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16.8" x14ac:dyDescent="0.3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16.8" x14ac:dyDescent="0.3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16.8" x14ac:dyDescent="0.3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16.8" x14ac:dyDescent="0.3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16.8" x14ac:dyDescent="0.3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16.8" x14ac:dyDescent="0.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16.8" x14ac:dyDescent="0.3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16.8" x14ac:dyDescent="0.3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16.8" x14ac:dyDescent="0.3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6.8" x14ac:dyDescent="0.3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6.8" x14ac:dyDescent="0.3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16.8" x14ac:dyDescent="0.3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16.8" x14ac:dyDescent="0.3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16.8" x14ac:dyDescent="0.3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16.8" x14ac:dyDescent="0.3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16.8" x14ac:dyDescent="0.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16.8" x14ac:dyDescent="0.3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16.8" x14ac:dyDescent="0.3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16.8" x14ac:dyDescent="0.3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16.8" x14ac:dyDescent="0.3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16.8" x14ac:dyDescent="0.3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16.8" x14ac:dyDescent="0.3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16.8" x14ac:dyDescent="0.3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16.8" x14ac:dyDescent="0.3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16.8" x14ac:dyDescent="0.3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16.8" x14ac:dyDescent="0.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16.8" x14ac:dyDescent="0.3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16.8" x14ac:dyDescent="0.3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6.8" x14ac:dyDescent="0.3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16.8" x14ac:dyDescent="0.3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16.8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16.8" x14ac:dyDescent="0.3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16.8" x14ac:dyDescent="0.3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16.8" x14ac:dyDescent="0.3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16.8" x14ac:dyDescent="0.3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16.8" x14ac:dyDescent="0.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16.8" x14ac:dyDescent="0.3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16.8" x14ac:dyDescent="0.3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16.8" x14ac:dyDescent="0.3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16.8" x14ac:dyDescent="0.3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16.8" x14ac:dyDescent="0.3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6.8" x14ac:dyDescent="0.3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16.8" x14ac:dyDescent="0.3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16.8" x14ac:dyDescent="0.3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16.8" x14ac:dyDescent="0.3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16.8" x14ac:dyDescent="0.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16.8" x14ac:dyDescent="0.3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16.8" x14ac:dyDescent="0.3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16.8" x14ac:dyDescent="0.3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16.8" x14ac:dyDescent="0.3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16.8" x14ac:dyDescent="0.3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16.8" x14ac:dyDescent="0.3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16.8" x14ac:dyDescent="0.3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16.8" x14ac:dyDescent="0.3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16.8" x14ac:dyDescent="0.3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16.8" x14ac:dyDescent="0.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16.8" x14ac:dyDescent="0.3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6.8" x14ac:dyDescent="0.3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16.8" x14ac:dyDescent="0.3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16.8" x14ac:dyDescent="0.3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16.8" x14ac:dyDescent="0.3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16.8" x14ac:dyDescent="0.3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16.8" x14ac:dyDescent="0.3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16.8" x14ac:dyDescent="0.3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16.8" x14ac:dyDescent="0.3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16.8" x14ac:dyDescent="0.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16.8" x14ac:dyDescent="0.3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16.8" x14ac:dyDescent="0.3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16.8" x14ac:dyDescent="0.3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6.8" x14ac:dyDescent="0.3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6.8" x14ac:dyDescent="0.3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6.8" x14ac:dyDescent="0.3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6.8" x14ac:dyDescent="0.3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6.8" x14ac:dyDescent="0.3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16.8" x14ac:dyDescent="0.3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16.8" x14ac:dyDescent="0.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16.8" x14ac:dyDescent="0.3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16.8" x14ac:dyDescent="0.3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16.8" x14ac:dyDescent="0.3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16.8" x14ac:dyDescent="0.3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16.8" x14ac:dyDescent="0.3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16.8" x14ac:dyDescent="0.3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16.8" x14ac:dyDescent="0.3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16.8" x14ac:dyDescent="0.3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16.8" x14ac:dyDescent="0.3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16.8" x14ac:dyDescent="0.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16.8" x14ac:dyDescent="0.3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16.8" x14ac:dyDescent="0.3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16.8" x14ac:dyDescent="0.3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16.8" x14ac:dyDescent="0.3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16.8" x14ac:dyDescent="0.3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16.8" x14ac:dyDescent="0.3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16.8" x14ac:dyDescent="0.3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16.8" x14ac:dyDescent="0.3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16.8" x14ac:dyDescent="0.3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16.8" x14ac:dyDescent="0.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16.8" x14ac:dyDescent="0.3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16.8" x14ac:dyDescent="0.3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16.8" x14ac:dyDescent="0.3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16.8" x14ac:dyDescent="0.3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16.8" x14ac:dyDescent="0.3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16.8" x14ac:dyDescent="0.3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16.8" x14ac:dyDescent="0.3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16.8" x14ac:dyDescent="0.3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16.8" x14ac:dyDescent="0.3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16.8" x14ac:dyDescent="0.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16.8" x14ac:dyDescent="0.3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16.8" x14ac:dyDescent="0.3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16.8" x14ac:dyDescent="0.3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16.8" x14ac:dyDescent="0.3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16.8" x14ac:dyDescent="0.3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16.8" x14ac:dyDescent="0.3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16.8" x14ac:dyDescent="0.3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16.8" x14ac:dyDescent="0.3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16.8" x14ac:dyDescent="0.3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16.8" x14ac:dyDescent="0.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16.8" x14ac:dyDescent="0.3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16.8" x14ac:dyDescent="0.3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16.8" x14ac:dyDescent="0.3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16.8" x14ac:dyDescent="0.3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16.8" x14ac:dyDescent="0.3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16.8" x14ac:dyDescent="0.3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16.8" x14ac:dyDescent="0.3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16.8" x14ac:dyDescent="0.3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16.8" x14ac:dyDescent="0.3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16.8" x14ac:dyDescent="0.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16.8" x14ac:dyDescent="0.3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16.8" x14ac:dyDescent="0.3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16.8" x14ac:dyDescent="0.3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16.8" x14ac:dyDescent="0.3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16.8" x14ac:dyDescent="0.3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16.8" x14ac:dyDescent="0.3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16.8" x14ac:dyDescent="0.3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16.8" x14ac:dyDescent="0.3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16.8" x14ac:dyDescent="0.3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16.8" x14ac:dyDescent="0.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16.8" x14ac:dyDescent="0.3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16.8" x14ac:dyDescent="0.3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16.8" x14ac:dyDescent="0.3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16.8" x14ac:dyDescent="0.3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16.8" x14ac:dyDescent="0.3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16.8" x14ac:dyDescent="0.3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16.8" x14ac:dyDescent="0.3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16.8" x14ac:dyDescent="0.3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16.8" x14ac:dyDescent="0.3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16.8" x14ac:dyDescent="0.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16.8" x14ac:dyDescent="0.3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16.8" x14ac:dyDescent="0.3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16.8" x14ac:dyDescent="0.3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16.8" x14ac:dyDescent="0.3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16.8" x14ac:dyDescent="0.3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16.8" x14ac:dyDescent="0.3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16.8" x14ac:dyDescent="0.3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16.8" x14ac:dyDescent="0.3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16.8" x14ac:dyDescent="0.3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16.8" x14ac:dyDescent="0.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16.8" x14ac:dyDescent="0.3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16.8" x14ac:dyDescent="0.3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16.8" x14ac:dyDescent="0.3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16.8" x14ac:dyDescent="0.3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6.8" x14ac:dyDescent="0.3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6.8" x14ac:dyDescent="0.3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6.8" x14ac:dyDescent="0.3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6.8" x14ac:dyDescent="0.3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6.8" x14ac:dyDescent="0.3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16.8" x14ac:dyDescent="0.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6.8" x14ac:dyDescent="0.3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6.8" x14ac:dyDescent="0.3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6.8" x14ac:dyDescent="0.3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6.8" x14ac:dyDescent="0.3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6.8" x14ac:dyDescent="0.3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6.8" x14ac:dyDescent="0.3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6.8" x14ac:dyDescent="0.3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16.8" x14ac:dyDescent="0.3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16.8" x14ac:dyDescent="0.3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16.8" x14ac:dyDescent="0.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16.8" x14ac:dyDescent="0.3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16.8" x14ac:dyDescent="0.3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16.8" x14ac:dyDescent="0.3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16.8" x14ac:dyDescent="0.3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16.8" x14ac:dyDescent="0.3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16.8" x14ac:dyDescent="0.3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16.8" x14ac:dyDescent="0.3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16.8" x14ac:dyDescent="0.3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16.8" x14ac:dyDescent="0.3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16.8" x14ac:dyDescent="0.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16.8" x14ac:dyDescent="0.3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16.8" x14ac:dyDescent="0.3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6.8" x14ac:dyDescent="0.3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16.8" x14ac:dyDescent="0.3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16.8" x14ac:dyDescent="0.3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16.8" x14ac:dyDescent="0.3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6.8" x14ac:dyDescent="0.3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6.8" x14ac:dyDescent="0.3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6.8" x14ac:dyDescent="0.3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6.8" x14ac:dyDescent="0.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6.8" x14ac:dyDescent="0.3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6.8" x14ac:dyDescent="0.3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6.8" x14ac:dyDescent="0.3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6.8" x14ac:dyDescent="0.3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6.8" x14ac:dyDescent="0.3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6.8" x14ac:dyDescent="0.3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6.8" x14ac:dyDescent="0.3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6.8" x14ac:dyDescent="0.3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16.8" x14ac:dyDescent="0.3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16.8" x14ac:dyDescent="0.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16.8" x14ac:dyDescent="0.3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16.8" x14ac:dyDescent="0.3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16.8" x14ac:dyDescent="0.3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16.8" x14ac:dyDescent="0.3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16.8" x14ac:dyDescent="0.3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16.8" x14ac:dyDescent="0.3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16.8" x14ac:dyDescent="0.3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16.8" x14ac:dyDescent="0.3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16.8" x14ac:dyDescent="0.3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6.8" x14ac:dyDescent="0.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16.8" x14ac:dyDescent="0.3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16.8" x14ac:dyDescent="0.3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16.8" x14ac:dyDescent="0.3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16.8" x14ac:dyDescent="0.3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16.8" x14ac:dyDescent="0.3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16.8" x14ac:dyDescent="0.3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16.8" x14ac:dyDescent="0.3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16.8" x14ac:dyDescent="0.3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16.8" x14ac:dyDescent="0.3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16.8" x14ac:dyDescent="0.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16.8" x14ac:dyDescent="0.3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16.8" x14ac:dyDescent="0.3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16.8" x14ac:dyDescent="0.3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16.8" x14ac:dyDescent="0.3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16.8" x14ac:dyDescent="0.3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16.8" x14ac:dyDescent="0.3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16.8" x14ac:dyDescent="0.3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16.8" x14ac:dyDescent="0.3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16.8" x14ac:dyDescent="0.3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16.8" x14ac:dyDescent="0.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16.8" x14ac:dyDescent="0.3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16.8" x14ac:dyDescent="0.3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16.8" x14ac:dyDescent="0.3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16.8" x14ac:dyDescent="0.3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16.8" x14ac:dyDescent="0.3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16.8" x14ac:dyDescent="0.3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16.8" x14ac:dyDescent="0.3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16.8" x14ac:dyDescent="0.3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16.8" x14ac:dyDescent="0.3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16.8" x14ac:dyDescent="0.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16.8" x14ac:dyDescent="0.3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16.8" x14ac:dyDescent="0.3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16.8" x14ac:dyDescent="0.3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16.8" x14ac:dyDescent="0.3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16.8" x14ac:dyDescent="0.3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16.8" x14ac:dyDescent="0.3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16.8" x14ac:dyDescent="0.3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16.8" x14ac:dyDescent="0.3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16.8" x14ac:dyDescent="0.3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16.8" x14ac:dyDescent="0.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16.8" x14ac:dyDescent="0.3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16.8" x14ac:dyDescent="0.3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16.8" x14ac:dyDescent="0.3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6.8" x14ac:dyDescent="0.3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16.8" x14ac:dyDescent="0.3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16.8" x14ac:dyDescent="0.3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16.8" x14ac:dyDescent="0.3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16.8" x14ac:dyDescent="0.3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16.8" x14ac:dyDescent="0.3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16.8" x14ac:dyDescent="0.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16.8" x14ac:dyDescent="0.3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16.8" x14ac:dyDescent="0.3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16.8" x14ac:dyDescent="0.3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16.8" x14ac:dyDescent="0.3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16.8" x14ac:dyDescent="0.3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16.8" x14ac:dyDescent="0.3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16.8" x14ac:dyDescent="0.3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16.8" x14ac:dyDescent="0.3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16.8" x14ac:dyDescent="0.3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16.8" x14ac:dyDescent="0.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16.8" x14ac:dyDescent="0.3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16.8" x14ac:dyDescent="0.3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16.8" x14ac:dyDescent="0.3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16.8" x14ac:dyDescent="0.3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16.8" x14ac:dyDescent="0.3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16.8" x14ac:dyDescent="0.3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16.8" x14ac:dyDescent="0.3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16.8" x14ac:dyDescent="0.3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16.8" x14ac:dyDescent="0.3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16.8" x14ac:dyDescent="0.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16.8" x14ac:dyDescent="0.3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16.8" x14ac:dyDescent="0.3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16.8" x14ac:dyDescent="0.3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16.8" x14ac:dyDescent="0.3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16.8" x14ac:dyDescent="0.3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16.8" x14ac:dyDescent="0.3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16.8" x14ac:dyDescent="0.3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16.8" x14ac:dyDescent="0.3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16.8" x14ac:dyDescent="0.3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16.8" x14ac:dyDescent="0.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16.8" x14ac:dyDescent="0.3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16.8" x14ac:dyDescent="0.3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16.8" x14ac:dyDescent="0.3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16.8" x14ac:dyDescent="0.3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16.8" x14ac:dyDescent="0.3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16.8" x14ac:dyDescent="0.3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16.8" x14ac:dyDescent="0.3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16.8" x14ac:dyDescent="0.3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16.8" x14ac:dyDescent="0.3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16.8" x14ac:dyDescent="0.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16.8" x14ac:dyDescent="0.3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16.8" x14ac:dyDescent="0.3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16.8" x14ac:dyDescent="0.3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16.8" x14ac:dyDescent="0.3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16.8" x14ac:dyDescent="0.3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16.8" x14ac:dyDescent="0.3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16.8" x14ac:dyDescent="0.3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16.8" x14ac:dyDescent="0.3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16.8" x14ac:dyDescent="0.3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16.8" x14ac:dyDescent="0.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16.8" x14ac:dyDescent="0.3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16.8" x14ac:dyDescent="0.3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16.8" x14ac:dyDescent="0.3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16.8" x14ac:dyDescent="0.3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16.8" x14ac:dyDescent="0.3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16.8" x14ac:dyDescent="0.3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16.8" x14ac:dyDescent="0.3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16.8" x14ac:dyDescent="0.3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16.8" x14ac:dyDescent="0.3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16.8" x14ac:dyDescent="0.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16.8" x14ac:dyDescent="0.3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16.8" x14ac:dyDescent="0.3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16.8" x14ac:dyDescent="0.3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16.8" x14ac:dyDescent="0.3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16.8" x14ac:dyDescent="0.3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16.8" x14ac:dyDescent="0.3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16.8" x14ac:dyDescent="0.3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16.8" x14ac:dyDescent="0.3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16.8" x14ac:dyDescent="0.3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16.8" x14ac:dyDescent="0.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16.8" x14ac:dyDescent="0.3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16.8" x14ac:dyDescent="0.3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16.8" x14ac:dyDescent="0.3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16.8" x14ac:dyDescent="0.3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16.8" x14ac:dyDescent="0.3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16.8" x14ac:dyDescent="0.3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16.8" x14ac:dyDescent="0.3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16.8" x14ac:dyDescent="0.3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16.8" x14ac:dyDescent="0.3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16.8" x14ac:dyDescent="0.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16.8" x14ac:dyDescent="0.3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16.8" x14ac:dyDescent="0.3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16.8" x14ac:dyDescent="0.3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16.8" x14ac:dyDescent="0.3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16.8" x14ac:dyDescent="0.3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16.8" x14ac:dyDescent="0.3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16.8" x14ac:dyDescent="0.3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16.8" x14ac:dyDescent="0.3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16.8" x14ac:dyDescent="0.3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16.8" x14ac:dyDescent="0.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16.8" x14ac:dyDescent="0.3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16.8" x14ac:dyDescent="0.3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16.8" x14ac:dyDescent="0.3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16.8" x14ac:dyDescent="0.3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16.8" x14ac:dyDescent="0.3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16.8" x14ac:dyDescent="0.3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16.8" x14ac:dyDescent="0.3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16.8" x14ac:dyDescent="0.3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16.8" x14ac:dyDescent="0.3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16.8" x14ac:dyDescent="0.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16.8" x14ac:dyDescent="0.3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16.8" x14ac:dyDescent="0.3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16.8" x14ac:dyDescent="0.3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16.8" x14ac:dyDescent="0.3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16.8" x14ac:dyDescent="0.3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16.8" x14ac:dyDescent="0.3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16.8" x14ac:dyDescent="0.3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16.8" x14ac:dyDescent="0.3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16.8" x14ac:dyDescent="0.3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16.8" x14ac:dyDescent="0.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16.8" x14ac:dyDescent="0.3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16.8" x14ac:dyDescent="0.3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16.8" x14ac:dyDescent="0.3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16.8" x14ac:dyDescent="0.3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16.8" x14ac:dyDescent="0.3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16.8" x14ac:dyDescent="0.3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16.8" x14ac:dyDescent="0.3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16.8" x14ac:dyDescent="0.3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16.8" x14ac:dyDescent="0.3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16.8" x14ac:dyDescent="0.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16.8" x14ac:dyDescent="0.3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16.8" x14ac:dyDescent="0.3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16.8" x14ac:dyDescent="0.3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16.8" x14ac:dyDescent="0.3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16.8" x14ac:dyDescent="0.3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16.8" x14ac:dyDescent="0.3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16.8" x14ac:dyDescent="0.3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16.8" x14ac:dyDescent="0.3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16.8" x14ac:dyDescent="0.3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16.8" x14ac:dyDescent="0.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16.8" x14ac:dyDescent="0.3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16.8" x14ac:dyDescent="0.3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16.8" x14ac:dyDescent="0.3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16.8" x14ac:dyDescent="0.3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16.8" x14ac:dyDescent="0.3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16.8" x14ac:dyDescent="0.3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16.8" x14ac:dyDescent="0.3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16.8" x14ac:dyDescent="0.3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16.8" x14ac:dyDescent="0.3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16.8" x14ac:dyDescent="0.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16.8" x14ac:dyDescent="0.3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16.8" x14ac:dyDescent="0.3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16.8" x14ac:dyDescent="0.3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16.8" x14ac:dyDescent="0.3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16.8" x14ac:dyDescent="0.3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16.8" x14ac:dyDescent="0.3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16.8" x14ac:dyDescent="0.3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16.8" x14ac:dyDescent="0.3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16.8" x14ac:dyDescent="0.3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16.8" x14ac:dyDescent="0.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16.8" x14ac:dyDescent="0.3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16.8" x14ac:dyDescent="0.3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6.8" x14ac:dyDescent="0.3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16.8" x14ac:dyDescent="0.3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16.8" x14ac:dyDescent="0.3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16.8" x14ac:dyDescent="0.3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16.8" x14ac:dyDescent="0.3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16.8" x14ac:dyDescent="0.3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16.8" x14ac:dyDescent="0.3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16.8" x14ac:dyDescent="0.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16.8" x14ac:dyDescent="0.3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16.8" x14ac:dyDescent="0.3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16.8" x14ac:dyDescent="0.3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16.8" x14ac:dyDescent="0.3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16.8" x14ac:dyDescent="0.3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16.8" x14ac:dyDescent="0.3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16.8" x14ac:dyDescent="0.3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16.8" x14ac:dyDescent="0.3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16.8" x14ac:dyDescent="0.3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16.8" x14ac:dyDescent="0.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16.8" x14ac:dyDescent="0.3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16.8" x14ac:dyDescent="0.3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16.8" x14ac:dyDescent="0.3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16.8" x14ac:dyDescent="0.3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16.8" x14ac:dyDescent="0.3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16.8" x14ac:dyDescent="0.3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16.8" x14ac:dyDescent="0.3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16.8" x14ac:dyDescent="0.3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16.8" x14ac:dyDescent="0.3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16.8" x14ac:dyDescent="0.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16.8" x14ac:dyDescent="0.3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16.8" x14ac:dyDescent="0.3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16.8" x14ac:dyDescent="0.3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16.8" x14ac:dyDescent="0.3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16.8" x14ac:dyDescent="0.3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16.8" x14ac:dyDescent="0.3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16.8" x14ac:dyDescent="0.3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16.8" x14ac:dyDescent="0.3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16.8" x14ac:dyDescent="0.3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16.8" x14ac:dyDescent="0.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16.8" x14ac:dyDescent="0.3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16.8" x14ac:dyDescent="0.3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16.8" x14ac:dyDescent="0.3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16.8" x14ac:dyDescent="0.3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16.8" x14ac:dyDescent="0.3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16.8" x14ac:dyDescent="0.3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16.8" x14ac:dyDescent="0.3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16.8" x14ac:dyDescent="0.3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16.8" x14ac:dyDescent="0.3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16.8" x14ac:dyDescent="0.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16.8" x14ac:dyDescent="0.3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16.8" x14ac:dyDescent="0.3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16.8" x14ac:dyDescent="0.3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16.8" x14ac:dyDescent="0.3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16.8" x14ac:dyDescent="0.3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16.8" x14ac:dyDescent="0.3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16.8" x14ac:dyDescent="0.3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16.8" x14ac:dyDescent="0.3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16.8" x14ac:dyDescent="0.3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16.8" x14ac:dyDescent="0.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16.8" x14ac:dyDescent="0.3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16.8" x14ac:dyDescent="0.3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16.8" x14ac:dyDescent="0.3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16.8" x14ac:dyDescent="0.3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16.8" x14ac:dyDescent="0.3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16.8" x14ac:dyDescent="0.3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16.8" x14ac:dyDescent="0.3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16.8" x14ac:dyDescent="0.3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16.8" x14ac:dyDescent="0.3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16.8" x14ac:dyDescent="0.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16.8" x14ac:dyDescent="0.3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16.8" x14ac:dyDescent="0.3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16.8" x14ac:dyDescent="0.3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16.8" x14ac:dyDescent="0.3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16.8" x14ac:dyDescent="0.3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16.8" x14ac:dyDescent="0.3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16.8" x14ac:dyDescent="0.3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16.8" x14ac:dyDescent="0.3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16.8" x14ac:dyDescent="0.3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16.8" x14ac:dyDescent="0.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16.8" x14ac:dyDescent="0.3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16.8" x14ac:dyDescent="0.3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16.8" x14ac:dyDescent="0.3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16.8" x14ac:dyDescent="0.3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16.8" x14ac:dyDescent="0.3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16.8" x14ac:dyDescent="0.3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16.8" x14ac:dyDescent="0.3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16.8" x14ac:dyDescent="0.3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16.8" x14ac:dyDescent="0.3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6.8" x14ac:dyDescent="0.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16.8" x14ac:dyDescent="0.3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16.8" x14ac:dyDescent="0.3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16.8" x14ac:dyDescent="0.3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16.8" x14ac:dyDescent="0.3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16.8" x14ac:dyDescent="0.3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16.8" x14ac:dyDescent="0.3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16.8" x14ac:dyDescent="0.3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16.8" x14ac:dyDescent="0.3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16.8" x14ac:dyDescent="0.3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16.8" x14ac:dyDescent="0.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16.8" x14ac:dyDescent="0.3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6.8" x14ac:dyDescent="0.3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16.8" x14ac:dyDescent="0.3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16.8" x14ac:dyDescent="0.3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16.8" x14ac:dyDescent="0.3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6.8" x14ac:dyDescent="0.3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16.8" x14ac:dyDescent="0.3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16.8" x14ac:dyDescent="0.3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16.8" x14ac:dyDescent="0.3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16.8" x14ac:dyDescent="0.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16.8" x14ac:dyDescent="0.3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6.8" x14ac:dyDescent="0.3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6.8" x14ac:dyDescent="0.3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16.8" x14ac:dyDescent="0.3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16.8" x14ac:dyDescent="0.3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16.8" x14ac:dyDescent="0.3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16.8" x14ac:dyDescent="0.3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16.8" x14ac:dyDescent="0.3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16.8" x14ac:dyDescent="0.3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16.8" x14ac:dyDescent="0.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16.8" x14ac:dyDescent="0.3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16.8" x14ac:dyDescent="0.3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16.8" x14ac:dyDescent="0.3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16.8" x14ac:dyDescent="0.3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16.8" x14ac:dyDescent="0.3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16.8" x14ac:dyDescent="0.3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16.8" x14ac:dyDescent="0.3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16.8" x14ac:dyDescent="0.3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16.8" x14ac:dyDescent="0.3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16.8" x14ac:dyDescent="0.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16.8" x14ac:dyDescent="0.3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16.8" x14ac:dyDescent="0.3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16.8" x14ac:dyDescent="0.3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16.8" x14ac:dyDescent="0.3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16.8" x14ac:dyDescent="0.3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16.8" x14ac:dyDescent="0.3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16.8" x14ac:dyDescent="0.3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16.8" x14ac:dyDescent="0.3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16.8" x14ac:dyDescent="0.3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16.8" x14ac:dyDescent="0.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16.8" x14ac:dyDescent="0.3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16.8" x14ac:dyDescent="0.3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16.8" x14ac:dyDescent="0.3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16.8" x14ac:dyDescent="0.3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16.8" x14ac:dyDescent="0.3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16.8" x14ac:dyDescent="0.3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16.8" x14ac:dyDescent="0.3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16.8" x14ac:dyDescent="0.3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16.8" x14ac:dyDescent="0.3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16.8" x14ac:dyDescent="0.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16.8" x14ac:dyDescent="0.3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16.8" x14ac:dyDescent="0.3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16.8" x14ac:dyDescent="0.3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16.8" x14ac:dyDescent="0.3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16.8" x14ac:dyDescent="0.3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16.8" x14ac:dyDescent="0.3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16.8" x14ac:dyDescent="0.3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16.8" x14ac:dyDescent="0.3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16.8" x14ac:dyDescent="0.3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16.8" x14ac:dyDescent="0.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16.8" x14ac:dyDescent="0.3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16.8" x14ac:dyDescent="0.3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16.8" x14ac:dyDescent="0.3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16.8" x14ac:dyDescent="0.3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16.8" x14ac:dyDescent="0.3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16.8" x14ac:dyDescent="0.3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16.8" x14ac:dyDescent="0.3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16.8" x14ac:dyDescent="0.3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16.8" x14ac:dyDescent="0.3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16.8" x14ac:dyDescent="0.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16.8" x14ac:dyDescent="0.3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16.8" x14ac:dyDescent="0.3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16.8" x14ac:dyDescent="0.3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16.8" x14ac:dyDescent="0.3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16.8" x14ac:dyDescent="0.3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16.8" x14ac:dyDescent="0.3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16.8" x14ac:dyDescent="0.3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16.8" x14ac:dyDescent="0.3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16.8" x14ac:dyDescent="0.3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16.8" x14ac:dyDescent="0.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16.8" x14ac:dyDescent="0.3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16.8" x14ac:dyDescent="0.3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16.8" x14ac:dyDescent="0.3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16.8" x14ac:dyDescent="0.3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16.8" x14ac:dyDescent="0.3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16.8" x14ac:dyDescent="0.3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16.8" x14ac:dyDescent="0.3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16.8" x14ac:dyDescent="0.3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16.8" x14ac:dyDescent="0.3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16.8" x14ac:dyDescent="0.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16.8" x14ac:dyDescent="0.3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16.8" x14ac:dyDescent="0.3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16.8" x14ac:dyDescent="0.3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16.8" x14ac:dyDescent="0.3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16.8" x14ac:dyDescent="0.3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16.8" x14ac:dyDescent="0.3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16.8" x14ac:dyDescent="0.3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16.8" x14ac:dyDescent="0.3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16.8" x14ac:dyDescent="0.3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16.8" x14ac:dyDescent="0.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16.8" x14ac:dyDescent="0.3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16.8" x14ac:dyDescent="0.3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16.8" x14ac:dyDescent="0.3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16.8" x14ac:dyDescent="0.3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16.8" x14ac:dyDescent="0.3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16.8" x14ac:dyDescent="0.3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16.8" x14ac:dyDescent="0.3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16.8" x14ac:dyDescent="0.3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16.8" x14ac:dyDescent="0.3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16.8" x14ac:dyDescent="0.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16.8" x14ac:dyDescent="0.3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16.8" x14ac:dyDescent="0.3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16.8" x14ac:dyDescent="0.3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16.8" x14ac:dyDescent="0.3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16.8" x14ac:dyDescent="0.3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16.8" x14ac:dyDescent="0.3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16.8" x14ac:dyDescent="0.3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16.8" x14ac:dyDescent="0.3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16.8" x14ac:dyDescent="0.3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16.8" x14ac:dyDescent="0.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16.8" x14ac:dyDescent="0.3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16.8" x14ac:dyDescent="0.3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16.8" x14ac:dyDescent="0.3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16.8" x14ac:dyDescent="0.3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16.8" x14ac:dyDescent="0.3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16.8" x14ac:dyDescent="0.3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16.8" x14ac:dyDescent="0.3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16.8" x14ac:dyDescent="0.3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16.8" x14ac:dyDescent="0.3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16.8" x14ac:dyDescent="0.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16.8" x14ac:dyDescent="0.3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16.8" x14ac:dyDescent="0.3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16.8" x14ac:dyDescent="0.3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16.8" x14ac:dyDescent="0.3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16.8" x14ac:dyDescent="0.3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16.8" x14ac:dyDescent="0.3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16.8" x14ac:dyDescent="0.3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16.8" x14ac:dyDescent="0.3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16.8" x14ac:dyDescent="0.3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16.8" x14ac:dyDescent="0.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16.8" x14ac:dyDescent="0.3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16.8" x14ac:dyDescent="0.3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16.8" x14ac:dyDescent="0.3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16.8" x14ac:dyDescent="0.3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16.8" x14ac:dyDescent="0.3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16.8" x14ac:dyDescent="0.3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16.8" x14ac:dyDescent="0.3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16.8" x14ac:dyDescent="0.3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16.8" x14ac:dyDescent="0.3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16.8" x14ac:dyDescent="0.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16.8" x14ac:dyDescent="0.3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16.8" x14ac:dyDescent="0.3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16.8" x14ac:dyDescent="0.3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16.8" x14ac:dyDescent="0.3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16.8" x14ac:dyDescent="0.3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16.8" x14ac:dyDescent="0.3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16.8" x14ac:dyDescent="0.3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16.8" x14ac:dyDescent="0.3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16.8" x14ac:dyDescent="0.3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16.8" x14ac:dyDescent="0.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16.8" x14ac:dyDescent="0.3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16.8" x14ac:dyDescent="0.3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16.8" x14ac:dyDescent="0.3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16.8" x14ac:dyDescent="0.3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16.8" x14ac:dyDescent="0.3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16.8" x14ac:dyDescent="0.3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16.8" x14ac:dyDescent="0.3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16.8" x14ac:dyDescent="0.3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16.8" x14ac:dyDescent="0.3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16.8" x14ac:dyDescent="0.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16.8" x14ac:dyDescent="0.3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16.8" x14ac:dyDescent="0.3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16.8" x14ac:dyDescent="0.3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16.8" x14ac:dyDescent="0.3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16.8" x14ac:dyDescent="0.3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16.8" x14ac:dyDescent="0.3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16.8" x14ac:dyDescent="0.3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16.8" x14ac:dyDescent="0.3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16.8" x14ac:dyDescent="0.3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16.8" x14ac:dyDescent="0.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16.8" x14ac:dyDescent="0.3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16.8" x14ac:dyDescent="0.3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16.8" x14ac:dyDescent="0.3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16.8" x14ac:dyDescent="0.3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16.8" x14ac:dyDescent="0.3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16.8" x14ac:dyDescent="0.3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16.8" x14ac:dyDescent="0.3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16.8" x14ac:dyDescent="0.3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16.8" x14ac:dyDescent="0.3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16.8" x14ac:dyDescent="0.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16.8" x14ac:dyDescent="0.3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16.8" x14ac:dyDescent="0.3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16.8" x14ac:dyDescent="0.3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16.8" x14ac:dyDescent="0.3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16.8" x14ac:dyDescent="0.3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16.8" x14ac:dyDescent="0.3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16.8" x14ac:dyDescent="0.3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16.8" x14ac:dyDescent="0.3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16.8" x14ac:dyDescent="0.3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16.8" x14ac:dyDescent="0.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16.8" x14ac:dyDescent="0.3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16.8" x14ac:dyDescent="0.3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16.8" x14ac:dyDescent="0.3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16.8" x14ac:dyDescent="0.3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16.8" x14ac:dyDescent="0.3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16.8" x14ac:dyDescent="0.3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16.8" x14ac:dyDescent="0.3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16.8" x14ac:dyDescent="0.3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16.8" x14ac:dyDescent="0.3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16.8" x14ac:dyDescent="0.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16.8" x14ac:dyDescent="0.3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16.8" x14ac:dyDescent="0.3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16.8" x14ac:dyDescent="0.3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16.8" x14ac:dyDescent="0.3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16.8" x14ac:dyDescent="0.3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16.8" x14ac:dyDescent="0.3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16.8" x14ac:dyDescent="0.3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16.8" x14ac:dyDescent="0.3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16.8" x14ac:dyDescent="0.3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16.8" x14ac:dyDescent="0.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16.8" x14ac:dyDescent="0.3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16.8" x14ac:dyDescent="0.3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16.8" x14ac:dyDescent="0.3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6.8" x14ac:dyDescent="0.3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16.8" x14ac:dyDescent="0.3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16.8" x14ac:dyDescent="0.3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16.8" x14ac:dyDescent="0.3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16.8" x14ac:dyDescent="0.3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16.8" x14ac:dyDescent="0.3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16.8" x14ac:dyDescent="0.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16.8" x14ac:dyDescent="0.3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16.8" x14ac:dyDescent="0.3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16.8" x14ac:dyDescent="0.3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16.8" x14ac:dyDescent="0.3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16.8" x14ac:dyDescent="0.3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16.8" x14ac:dyDescent="0.3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16.8" x14ac:dyDescent="0.3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16.8" x14ac:dyDescent="0.3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16.8" x14ac:dyDescent="0.3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16.8" x14ac:dyDescent="0.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16.8" x14ac:dyDescent="0.3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16.8" x14ac:dyDescent="0.3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16.8" x14ac:dyDescent="0.3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16.8" x14ac:dyDescent="0.3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16.8" x14ac:dyDescent="0.3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16.8" x14ac:dyDescent="0.3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16.8" x14ac:dyDescent="0.3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16.8" x14ac:dyDescent="0.3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16.8" x14ac:dyDescent="0.3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16.8" x14ac:dyDescent="0.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16.8" x14ac:dyDescent="0.3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16.8" x14ac:dyDescent="0.3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16.8" x14ac:dyDescent="0.3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16.8" x14ac:dyDescent="0.3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16.8" x14ac:dyDescent="0.3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16.8" x14ac:dyDescent="0.3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16.8" x14ac:dyDescent="0.3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16.8" x14ac:dyDescent="0.3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16.8" x14ac:dyDescent="0.3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16.8" x14ac:dyDescent="0.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16.8" x14ac:dyDescent="0.3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16.8" x14ac:dyDescent="0.3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16.8" x14ac:dyDescent="0.3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16.8" x14ac:dyDescent="0.3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16.8" x14ac:dyDescent="0.3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16.8" x14ac:dyDescent="0.3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16.8" x14ac:dyDescent="0.3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16.8" x14ac:dyDescent="0.3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16.8" x14ac:dyDescent="0.3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16.8" x14ac:dyDescent="0.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16.8" x14ac:dyDescent="0.3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16.8" x14ac:dyDescent="0.3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16.8" x14ac:dyDescent="0.3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16.8" x14ac:dyDescent="0.3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16.8" x14ac:dyDescent="0.3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16.8" x14ac:dyDescent="0.3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16.8" x14ac:dyDescent="0.3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16.8" x14ac:dyDescent="0.3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16.8" x14ac:dyDescent="0.3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16.8" x14ac:dyDescent="0.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16.8" x14ac:dyDescent="0.3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16.8" x14ac:dyDescent="0.3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16.8" x14ac:dyDescent="0.3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16.8" x14ac:dyDescent="0.3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16.8" x14ac:dyDescent="0.3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16.8" x14ac:dyDescent="0.3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16.8" x14ac:dyDescent="0.3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16.8" x14ac:dyDescent="0.3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16.8" x14ac:dyDescent="0.3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16.8" x14ac:dyDescent="0.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16.8" x14ac:dyDescent="0.3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16.8" x14ac:dyDescent="0.3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16.8" x14ac:dyDescent="0.3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16.8" x14ac:dyDescent="0.3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16.8" x14ac:dyDescent="0.3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16.8" x14ac:dyDescent="0.3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16.8" x14ac:dyDescent="0.3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16.8" x14ac:dyDescent="0.3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16.8" x14ac:dyDescent="0.3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16.8" x14ac:dyDescent="0.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16.8" x14ac:dyDescent="0.3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16.8" x14ac:dyDescent="0.3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16.8" x14ac:dyDescent="0.3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16.8" x14ac:dyDescent="0.3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16.8" x14ac:dyDescent="0.3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16.8" x14ac:dyDescent="0.3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16.8" x14ac:dyDescent="0.3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16.8" x14ac:dyDescent="0.3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16.8" x14ac:dyDescent="0.3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16.8" x14ac:dyDescent="0.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16.8" x14ac:dyDescent="0.3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16.8" x14ac:dyDescent="0.3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16.8" x14ac:dyDescent="0.3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16.8" x14ac:dyDescent="0.3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16.8" x14ac:dyDescent="0.3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16.8" x14ac:dyDescent="0.3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16.8" x14ac:dyDescent="0.3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16.8" x14ac:dyDescent="0.3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16.8" x14ac:dyDescent="0.3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16.8" x14ac:dyDescent="0.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16.8" x14ac:dyDescent="0.3"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16.8" x14ac:dyDescent="0.3"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16.8" x14ac:dyDescent="0.3"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16.8" x14ac:dyDescent="0.3"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16.8" x14ac:dyDescent="0.3"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16.8" x14ac:dyDescent="0.3"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16.8" x14ac:dyDescent="0.3"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16.8" x14ac:dyDescent="0.3"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16.8" x14ac:dyDescent="0.3"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5:26" ht="16.8" x14ac:dyDescent="0.3"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5:26" ht="16.8" x14ac:dyDescent="0.3"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5:26" ht="16.8" x14ac:dyDescent="0.3"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5:26" ht="16.8" x14ac:dyDescent="0.3"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5:26" ht="16.8" x14ac:dyDescent="0.3"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5:26" ht="16.8" x14ac:dyDescent="0.3"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5:26" ht="16.8" x14ac:dyDescent="0.3"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5:26" ht="16.8" x14ac:dyDescent="0.3"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7"/>
  <sheetViews>
    <sheetView topLeftCell="AM21" zoomScaleNormal="100" workbookViewId="0">
      <selection activeCell="F63" sqref="F63"/>
    </sheetView>
  </sheetViews>
  <sheetFormatPr defaultColWidth="12.6640625" defaultRowHeight="13.2" x14ac:dyDescent="0.25"/>
  <cols>
    <col min="1" max="1" width="41.6640625" customWidth="1"/>
    <col min="2" max="4" width="10.5546875" bestFit="1" customWidth="1"/>
    <col min="5" max="6" width="15.33203125" customWidth="1"/>
  </cols>
  <sheetData>
    <row r="1" spans="1:26" ht="21" x14ac:dyDescent="0.4">
      <c r="A1" s="4" t="s">
        <v>97</v>
      </c>
      <c r="B1" s="4"/>
      <c r="C1" s="4"/>
      <c r="D1" s="4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3.8" x14ac:dyDescent="0.25">
      <c r="A2" s="48"/>
      <c r="B2" s="48"/>
      <c r="C2" s="48"/>
      <c r="D2" s="48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3.8" x14ac:dyDescent="0.25">
      <c r="A3" s="49" t="s">
        <v>85</v>
      </c>
      <c r="B3" s="49" t="s">
        <v>59</v>
      </c>
      <c r="C3" s="49" t="s">
        <v>60</v>
      </c>
      <c r="D3" s="49" t="s">
        <v>61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3.8" x14ac:dyDescent="0.25">
      <c r="A4" s="29" t="s">
        <v>98</v>
      </c>
      <c r="B4" s="29">
        <v>492.69</v>
      </c>
      <c r="C4" s="29">
        <v>495.73</v>
      </c>
      <c r="D4" s="29">
        <v>498.49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3.8" x14ac:dyDescent="0.25">
      <c r="A5" s="29" t="s">
        <v>99</v>
      </c>
      <c r="B5" s="29">
        <v>0.7</v>
      </c>
      <c r="C5" s="29">
        <v>0.25</v>
      </c>
      <c r="D5" s="29">
        <v>0.81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3.8" x14ac:dyDescent="0.25">
      <c r="A6" s="29" t="s">
        <v>100</v>
      </c>
      <c r="B6" s="31">
        <v>11467.09</v>
      </c>
      <c r="C6" s="31">
        <v>13807.37</v>
      </c>
      <c r="D6" s="31">
        <v>16347.42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3.8" x14ac:dyDescent="0.25">
      <c r="A7" s="29" t="s">
        <v>101</v>
      </c>
      <c r="B7" s="29">
        <v>244.52</v>
      </c>
      <c r="C7" s="29">
        <v>181.82</v>
      </c>
      <c r="D7" s="29">
        <v>-212.83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3.8" x14ac:dyDescent="0.25">
      <c r="A8" s="29" t="s">
        <v>102</v>
      </c>
      <c r="B8" s="29">
        <v>745.03</v>
      </c>
      <c r="C8" s="29">
        <v>498.92</v>
      </c>
      <c r="D8" s="29">
        <v>-561.64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3.8" x14ac:dyDescent="0.25">
      <c r="A9" s="29" t="s">
        <v>103</v>
      </c>
      <c r="B9" s="29">
        <v>35</v>
      </c>
      <c r="C9" s="50">
        <v>0</v>
      </c>
      <c r="D9" s="50">
        <v>0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3.8" x14ac:dyDescent="0.25">
      <c r="A10" s="32" t="s">
        <v>104</v>
      </c>
      <c r="B10" s="33">
        <f>SUM(B4:B9)</f>
        <v>12985.03</v>
      </c>
      <c r="C10" s="33">
        <f>SUM(C4:C9)</f>
        <v>14984.09</v>
      </c>
      <c r="D10" s="33">
        <f>SUM(D4:D9)</f>
        <v>16072.25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3.8" x14ac:dyDescent="0.25">
      <c r="A11" s="29" t="s">
        <v>105</v>
      </c>
      <c r="B11" s="31">
        <v>11586.86</v>
      </c>
      <c r="C11" s="31">
        <v>13725.51</v>
      </c>
      <c r="D11" s="31">
        <v>14928.7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3.8" x14ac:dyDescent="0.25">
      <c r="A12" s="29" t="s">
        <v>106</v>
      </c>
      <c r="B12" s="31">
        <v>37320.379999999997</v>
      </c>
      <c r="C12" s="31">
        <v>39782.26</v>
      </c>
      <c r="D12" s="31">
        <v>43492.57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3.8" x14ac:dyDescent="0.25">
      <c r="A13" s="29" t="s">
        <v>107</v>
      </c>
      <c r="B13" s="50">
        <v>0</v>
      </c>
      <c r="C13" s="50">
        <v>0</v>
      </c>
      <c r="D13" s="50">
        <v>0</v>
      </c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3.8" x14ac:dyDescent="0.25">
      <c r="A14" s="29" t="s">
        <v>108</v>
      </c>
      <c r="B14" s="29">
        <v>700.85</v>
      </c>
      <c r="C14" s="29">
        <v>802</v>
      </c>
      <c r="D14" s="29">
        <v>838.99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3.8" x14ac:dyDescent="0.25">
      <c r="A15" s="29" t="s">
        <v>109</v>
      </c>
      <c r="B15" s="29">
        <v>292.62</v>
      </c>
      <c r="C15" s="29">
        <v>169.05</v>
      </c>
      <c r="D15" s="29">
        <v>117.24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3.8" x14ac:dyDescent="0.25">
      <c r="A16" s="29" t="s">
        <v>110</v>
      </c>
      <c r="B16" s="29">
        <v>334.58</v>
      </c>
      <c r="C16" s="29">
        <v>87.57</v>
      </c>
      <c r="D16" s="29">
        <v>986.78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3.8" x14ac:dyDescent="0.25">
      <c r="A17" s="101" t="s">
        <v>111</v>
      </c>
      <c r="B17" s="102">
        <v>13073</v>
      </c>
      <c r="C17" s="114">
        <v>14453.87</v>
      </c>
      <c r="D17" s="102">
        <v>15746.66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3.8" x14ac:dyDescent="0.25">
      <c r="A18" s="103" t="s">
        <v>112</v>
      </c>
      <c r="B18" s="104">
        <f>B16+B17</f>
        <v>13407.58</v>
      </c>
      <c r="C18" s="104">
        <f>C16+C17</f>
        <v>14541.44</v>
      </c>
      <c r="D18" s="104">
        <f>D16+D17</f>
        <v>16733.439999999999</v>
      </c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3.8" x14ac:dyDescent="0.25">
      <c r="A19" s="101" t="s">
        <v>113</v>
      </c>
      <c r="B19" s="114">
        <v>40235.199999999997</v>
      </c>
      <c r="C19" s="102">
        <v>42739.46</v>
      </c>
      <c r="D19" s="102">
        <v>47585.41</v>
      </c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3.8" x14ac:dyDescent="0.25">
      <c r="A20" s="101" t="s">
        <v>114</v>
      </c>
      <c r="B20" s="102">
        <v>10088.06</v>
      </c>
      <c r="C20" s="102">
        <v>11296.71</v>
      </c>
      <c r="D20" s="102">
        <v>12453.28</v>
      </c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3.8" x14ac:dyDescent="0.25">
      <c r="A21" s="103" t="s">
        <v>115</v>
      </c>
      <c r="B21" s="104">
        <f>B19+B20</f>
        <v>50323.259999999995</v>
      </c>
      <c r="C21" s="104">
        <f>C19+C20</f>
        <v>54036.17</v>
      </c>
      <c r="D21" s="104">
        <f>D19+D20</f>
        <v>60038.69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3.8" x14ac:dyDescent="0.25">
      <c r="A22" s="103" t="s">
        <v>116</v>
      </c>
      <c r="B22" s="104">
        <f>B18-B21</f>
        <v>-36915.679999999993</v>
      </c>
      <c r="C22" s="104">
        <f>C18-C21</f>
        <v>-39494.729999999996</v>
      </c>
      <c r="D22" s="104">
        <f>D18-D21</f>
        <v>-43305.25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3.8" x14ac:dyDescent="0.25">
      <c r="A23" s="115" t="s">
        <v>117</v>
      </c>
      <c r="B23" s="104">
        <f>SUM(B11:B15)+B22</f>
        <v>12985.030000000006</v>
      </c>
      <c r="C23" s="104">
        <f>SUM(C11:C15)+C22</f>
        <v>14984.090000000011</v>
      </c>
      <c r="D23" s="104">
        <f>SUM(D11:D15)+D22</f>
        <v>16072.25</v>
      </c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3.8" x14ac:dyDescent="0.25">
      <c r="A24" s="52"/>
      <c r="B24" s="53">
        <f>ROUND(B10-B23,2)</f>
        <v>0</v>
      </c>
      <c r="C24" s="53">
        <f>ROUND(C10-C23,2)</f>
        <v>0</v>
      </c>
      <c r="D24" s="53">
        <f>ROUND(D10-D23,2)</f>
        <v>0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3.8" x14ac:dyDescent="0.25">
      <c r="A25" s="3" t="s">
        <v>118</v>
      </c>
      <c r="B25" s="3"/>
      <c r="C25" s="3"/>
      <c r="D25" s="3"/>
      <c r="E25" s="3"/>
      <c r="F25" s="3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3.8" x14ac:dyDescent="0.25">
      <c r="A26" s="55" t="s">
        <v>85</v>
      </c>
      <c r="B26" s="55" t="s">
        <v>59</v>
      </c>
      <c r="C26" s="55" t="s">
        <v>60</v>
      </c>
      <c r="D26" s="55" t="s">
        <v>61</v>
      </c>
      <c r="E26" s="55" t="s">
        <v>119</v>
      </c>
      <c r="F26" s="55" t="s">
        <v>120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3.8" x14ac:dyDescent="0.25">
      <c r="A27" s="101" t="s">
        <v>98</v>
      </c>
      <c r="B27" s="116">
        <f t="shared" ref="B27:D35" si="0">B4</f>
        <v>492.69</v>
      </c>
      <c r="C27" s="116">
        <f t="shared" si="0"/>
        <v>495.73</v>
      </c>
      <c r="D27" s="116">
        <f t="shared" si="0"/>
        <v>498.49</v>
      </c>
      <c r="E27" s="117">
        <f t="shared" ref="E27:E44" si="1">IF(OR(B27=0,B27*C27&lt;0),"n.m.",(C27-B27)/ABS(B27))</f>
        <v>6.170208447502528E-3</v>
      </c>
      <c r="F27" s="117">
        <f t="shared" ref="F27:F44" si="2">IF(OR(C27=0,C27*D27&lt;0),"n.m.",(D27-C27)/ABS(C27))</f>
        <v>5.5675468500998339E-3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3.8" x14ac:dyDescent="0.25">
      <c r="A28" s="101" t="s">
        <v>99</v>
      </c>
      <c r="B28" s="116">
        <f t="shared" si="0"/>
        <v>0.7</v>
      </c>
      <c r="C28" s="116">
        <f t="shared" si="0"/>
        <v>0.25</v>
      </c>
      <c r="D28" s="116">
        <f t="shared" si="0"/>
        <v>0.81</v>
      </c>
      <c r="E28" s="117">
        <f t="shared" si="1"/>
        <v>-0.64285714285714279</v>
      </c>
      <c r="F28" s="117">
        <f t="shared" si="2"/>
        <v>2.2400000000000002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3.8" x14ac:dyDescent="0.25">
      <c r="A29" s="101" t="s">
        <v>100</v>
      </c>
      <c r="B29" s="116">
        <f t="shared" si="0"/>
        <v>11467.09</v>
      </c>
      <c r="C29" s="116">
        <f t="shared" si="0"/>
        <v>13807.37</v>
      </c>
      <c r="D29" s="116">
        <f t="shared" si="0"/>
        <v>16347.42</v>
      </c>
      <c r="E29" s="117">
        <f t="shared" si="1"/>
        <v>0.20408665145211213</v>
      </c>
      <c r="F29" s="117">
        <f t="shared" si="2"/>
        <v>0.18396334711099935</v>
      </c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3.8" x14ac:dyDescent="0.25">
      <c r="A30" s="101" t="s">
        <v>101</v>
      </c>
      <c r="B30" s="116">
        <f t="shared" si="0"/>
        <v>244.52</v>
      </c>
      <c r="C30" s="116">
        <f t="shared" si="0"/>
        <v>181.82</v>
      </c>
      <c r="D30" s="116">
        <f t="shared" si="0"/>
        <v>-212.83</v>
      </c>
      <c r="E30" s="117">
        <f t="shared" si="1"/>
        <v>-0.25642074267953546</v>
      </c>
      <c r="F30" s="118" t="str">
        <f t="shared" si="2"/>
        <v>n.m.</v>
      </c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3.8" x14ac:dyDescent="0.25">
      <c r="A31" s="101" t="s">
        <v>102</v>
      </c>
      <c r="B31" s="116">
        <f t="shared" si="0"/>
        <v>745.03</v>
      </c>
      <c r="C31" s="116">
        <f t="shared" si="0"/>
        <v>498.92</v>
      </c>
      <c r="D31" s="116">
        <f t="shared" si="0"/>
        <v>-561.64</v>
      </c>
      <c r="E31" s="117">
        <f t="shared" si="1"/>
        <v>-0.33033569118022088</v>
      </c>
      <c r="F31" s="118" t="str">
        <f t="shared" si="2"/>
        <v>n.m.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3.8" x14ac:dyDescent="0.25">
      <c r="A32" s="101" t="s">
        <v>103</v>
      </c>
      <c r="B32" s="116">
        <f t="shared" si="0"/>
        <v>35</v>
      </c>
      <c r="C32" s="119">
        <f t="shared" si="0"/>
        <v>0</v>
      </c>
      <c r="D32" s="119">
        <f t="shared" si="0"/>
        <v>0</v>
      </c>
      <c r="E32" s="117">
        <f t="shared" si="1"/>
        <v>-1</v>
      </c>
      <c r="F32" s="118" t="str">
        <f t="shared" si="2"/>
        <v>n.m.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3.8" x14ac:dyDescent="0.25">
      <c r="A33" s="103" t="s">
        <v>104</v>
      </c>
      <c r="B33" s="116">
        <f t="shared" si="0"/>
        <v>12985.03</v>
      </c>
      <c r="C33" s="116">
        <f t="shared" si="0"/>
        <v>14984.09</v>
      </c>
      <c r="D33" s="116">
        <f t="shared" si="0"/>
        <v>16072.25</v>
      </c>
      <c r="E33" s="117">
        <f t="shared" si="1"/>
        <v>0.15395112679755066</v>
      </c>
      <c r="F33" s="117">
        <f t="shared" si="2"/>
        <v>7.2621026702322247E-2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3.8" x14ac:dyDescent="0.25">
      <c r="A34" s="101" t="s">
        <v>105</v>
      </c>
      <c r="B34" s="116">
        <f t="shared" si="0"/>
        <v>11586.86</v>
      </c>
      <c r="C34" s="116">
        <f t="shared" si="0"/>
        <v>13725.51</v>
      </c>
      <c r="D34" s="116">
        <f t="shared" si="0"/>
        <v>14928.7</v>
      </c>
      <c r="E34" s="117">
        <f t="shared" si="1"/>
        <v>0.18457545875241432</v>
      </c>
      <c r="F34" s="117">
        <f t="shared" si="2"/>
        <v>8.7660859232188859E-2</v>
      </c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3.8" x14ac:dyDescent="0.25">
      <c r="A35" s="101" t="s">
        <v>106</v>
      </c>
      <c r="B35" s="116">
        <f t="shared" si="0"/>
        <v>37320.379999999997</v>
      </c>
      <c r="C35" s="116">
        <f t="shared" si="0"/>
        <v>39782.26</v>
      </c>
      <c r="D35" s="116">
        <f t="shared" si="0"/>
        <v>43492.57</v>
      </c>
      <c r="E35" s="117">
        <f t="shared" si="1"/>
        <v>6.5966102167234225E-2</v>
      </c>
      <c r="F35" s="117">
        <f t="shared" si="2"/>
        <v>9.3265440424953175E-2</v>
      </c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3.8" x14ac:dyDescent="0.25">
      <c r="A36" s="101" t="s">
        <v>108</v>
      </c>
      <c r="B36" s="116">
        <f t="shared" ref="B36:D44" si="3">B14</f>
        <v>700.85</v>
      </c>
      <c r="C36" s="116">
        <f t="shared" si="3"/>
        <v>802</v>
      </c>
      <c r="D36" s="116">
        <f t="shared" si="3"/>
        <v>838.99</v>
      </c>
      <c r="E36" s="117">
        <f t="shared" si="1"/>
        <v>0.14432474851965466</v>
      </c>
      <c r="F36" s="117">
        <f t="shared" si="2"/>
        <v>4.6122194513715721E-2</v>
      </c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3.8" x14ac:dyDescent="0.25">
      <c r="A37" s="101" t="s">
        <v>109</v>
      </c>
      <c r="B37" s="116">
        <f t="shared" si="3"/>
        <v>292.62</v>
      </c>
      <c r="C37" s="116">
        <f t="shared" si="3"/>
        <v>169.05</v>
      </c>
      <c r="D37" s="116">
        <f t="shared" si="3"/>
        <v>117.24</v>
      </c>
      <c r="E37" s="117">
        <f t="shared" si="1"/>
        <v>-0.42228829198277629</v>
      </c>
      <c r="F37" s="117">
        <f t="shared" si="2"/>
        <v>-0.30647737355811899</v>
      </c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3.8" x14ac:dyDescent="0.25">
      <c r="A38" s="101" t="s">
        <v>110</v>
      </c>
      <c r="B38" s="116">
        <f t="shared" si="3"/>
        <v>334.58</v>
      </c>
      <c r="C38" s="116">
        <f t="shared" si="3"/>
        <v>87.57</v>
      </c>
      <c r="D38" s="116">
        <f t="shared" si="3"/>
        <v>986.78</v>
      </c>
      <c r="E38" s="117">
        <f t="shared" si="1"/>
        <v>-0.73826887440970768</v>
      </c>
      <c r="F38" s="117">
        <f t="shared" si="2"/>
        <v>10.268470937535687</v>
      </c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3.8" x14ac:dyDescent="0.25">
      <c r="A39" s="101" t="s">
        <v>111</v>
      </c>
      <c r="B39" s="116">
        <f t="shared" si="3"/>
        <v>13073</v>
      </c>
      <c r="C39" s="116">
        <f t="shared" si="3"/>
        <v>14453.87</v>
      </c>
      <c r="D39" s="116">
        <f t="shared" si="3"/>
        <v>15746.66</v>
      </c>
      <c r="E39" s="117">
        <f t="shared" si="1"/>
        <v>0.10562762946531025</v>
      </c>
      <c r="F39" s="117">
        <f t="shared" si="2"/>
        <v>8.9442481494575427E-2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3.8" x14ac:dyDescent="0.25">
      <c r="A40" s="101" t="s">
        <v>112</v>
      </c>
      <c r="B40" s="116">
        <f t="shared" si="3"/>
        <v>13407.58</v>
      </c>
      <c r="C40" s="116">
        <f t="shared" si="3"/>
        <v>14541.44</v>
      </c>
      <c r="D40" s="116">
        <f t="shared" si="3"/>
        <v>16733.439999999999</v>
      </c>
      <c r="E40" s="117">
        <f t="shared" si="1"/>
        <v>8.4568579863032747E-2</v>
      </c>
      <c r="F40" s="117">
        <f t="shared" si="2"/>
        <v>0.15074160468289236</v>
      </c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3.8" x14ac:dyDescent="0.25">
      <c r="A41" s="101" t="s">
        <v>113</v>
      </c>
      <c r="B41" s="116">
        <f t="shared" si="3"/>
        <v>40235.199999999997</v>
      </c>
      <c r="C41" s="116">
        <f t="shared" si="3"/>
        <v>42739.46</v>
      </c>
      <c r="D41" s="116">
        <f t="shared" si="3"/>
        <v>47585.41</v>
      </c>
      <c r="E41" s="117">
        <f t="shared" si="1"/>
        <v>6.2240525708832123E-2</v>
      </c>
      <c r="F41" s="117">
        <f t="shared" si="2"/>
        <v>0.11338351022684902</v>
      </c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3.8" x14ac:dyDescent="0.25">
      <c r="A42" s="101" t="s">
        <v>114</v>
      </c>
      <c r="B42" s="116">
        <f t="shared" si="3"/>
        <v>10088.06</v>
      </c>
      <c r="C42" s="116">
        <f t="shared" si="3"/>
        <v>11296.71</v>
      </c>
      <c r="D42" s="116">
        <f t="shared" si="3"/>
        <v>12453.28</v>
      </c>
      <c r="E42" s="117">
        <f t="shared" si="1"/>
        <v>0.11980995354904705</v>
      </c>
      <c r="F42" s="117">
        <f t="shared" si="2"/>
        <v>0.10238113574660247</v>
      </c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3.8" x14ac:dyDescent="0.25">
      <c r="A43" s="101" t="s">
        <v>121</v>
      </c>
      <c r="B43" s="116">
        <f t="shared" si="3"/>
        <v>50323.259999999995</v>
      </c>
      <c r="C43" s="116">
        <f t="shared" si="3"/>
        <v>54036.17</v>
      </c>
      <c r="D43" s="116">
        <f t="shared" si="3"/>
        <v>60038.69</v>
      </c>
      <c r="E43" s="117">
        <f t="shared" si="1"/>
        <v>7.3781189851372983E-2</v>
      </c>
      <c r="F43" s="117">
        <f t="shared" si="2"/>
        <v>0.111083372489205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3.8" x14ac:dyDescent="0.25">
      <c r="A44" s="101" t="s">
        <v>116</v>
      </c>
      <c r="B44" s="116">
        <f t="shared" si="3"/>
        <v>-36915.679999999993</v>
      </c>
      <c r="C44" s="116">
        <f t="shared" si="3"/>
        <v>-39494.729999999996</v>
      </c>
      <c r="D44" s="116">
        <f t="shared" si="3"/>
        <v>-43305.25</v>
      </c>
      <c r="E44" s="118">
        <f t="shared" si="1"/>
        <v>-6.9863266774443905E-2</v>
      </c>
      <c r="F44" s="118">
        <f t="shared" si="2"/>
        <v>-9.6481733132496528E-2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3.8" x14ac:dyDescent="0.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3.8" x14ac:dyDescent="0.25">
      <c r="A46" s="3" t="s">
        <v>122</v>
      </c>
      <c r="B46" s="3"/>
      <c r="C46" s="3"/>
      <c r="D46" s="3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3.8" x14ac:dyDescent="0.25">
      <c r="A47" s="55" t="s">
        <v>85</v>
      </c>
      <c r="B47" s="55" t="s">
        <v>59</v>
      </c>
      <c r="C47" s="55" t="s">
        <v>60</v>
      </c>
      <c r="D47" s="55" t="s">
        <v>61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3.8" x14ac:dyDescent="0.25">
      <c r="A48" s="101" t="s">
        <v>98</v>
      </c>
      <c r="B48" s="117">
        <f>B27/$B$33</f>
        <v>3.7942923504989977E-2</v>
      </c>
      <c r="C48" s="118">
        <f>C27/$C$33</f>
        <v>3.308375750546079E-2</v>
      </c>
      <c r="D48" s="117">
        <f>D27/$D$33</f>
        <v>3.1015570315294998E-2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3.8" x14ac:dyDescent="0.25">
      <c r="A49" s="101" t="s">
        <v>100</v>
      </c>
      <c r="B49" s="117">
        <f t="shared" ref="B49:B57" si="4">B29/$B$33</f>
        <v>0.88310077065667159</v>
      </c>
      <c r="C49" s="117">
        <f t="shared" ref="C49:C57" si="5">C29/$C$33</f>
        <v>0.92146870447254392</v>
      </c>
      <c r="D49" s="117">
        <f t="shared" ref="D49:D57" si="6">D29/$D$33</f>
        <v>1.0171208138250711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3.8" x14ac:dyDescent="0.25">
      <c r="A50" s="101" t="s">
        <v>123</v>
      </c>
      <c r="B50" s="117">
        <f t="shared" si="4"/>
        <v>1.8830915292456004E-2</v>
      </c>
      <c r="C50" s="117">
        <f t="shared" si="5"/>
        <v>1.2134203678701876E-2</v>
      </c>
      <c r="D50" s="117">
        <f t="shared" si="6"/>
        <v>-1.3242078738197827E-2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3.8" x14ac:dyDescent="0.25">
      <c r="A51" s="101" t="s">
        <v>124</v>
      </c>
      <c r="B51" s="117">
        <f t="shared" si="4"/>
        <v>5.7376070752243158E-2</v>
      </c>
      <c r="C51" s="117">
        <f t="shared" si="5"/>
        <v>3.329664998007887E-2</v>
      </c>
      <c r="D51" s="117">
        <f t="shared" si="6"/>
        <v>-3.4944702826299988E-2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3.8" x14ac:dyDescent="0.25">
      <c r="A52" s="101" t="s">
        <v>103</v>
      </c>
      <c r="B52" s="117">
        <f t="shared" si="4"/>
        <v>2.6954115623914615E-3</v>
      </c>
      <c r="C52" s="117">
        <f t="shared" si="5"/>
        <v>0</v>
      </c>
      <c r="D52" s="117">
        <f t="shared" si="6"/>
        <v>0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3.8" x14ac:dyDescent="0.25">
      <c r="A53" s="101" t="s">
        <v>125</v>
      </c>
      <c r="B53" s="117">
        <f t="shared" si="4"/>
        <v>1</v>
      </c>
      <c r="C53" s="117">
        <f t="shared" si="5"/>
        <v>1</v>
      </c>
      <c r="D53" s="117">
        <f t="shared" si="6"/>
        <v>1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3.8" x14ac:dyDescent="0.25">
      <c r="A54" s="101" t="s">
        <v>105</v>
      </c>
      <c r="B54" s="117">
        <f t="shared" si="4"/>
        <v>0.89232446902317519</v>
      </c>
      <c r="C54" s="117">
        <f t="shared" si="5"/>
        <v>0.9160055765815609</v>
      </c>
      <c r="D54" s="117">
        <f t="shared" si="6"/>
        <v>0.92884941436326596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3.8" x14ac:dyDescent="0.25">
      <c r="A55" s="101" t="s">
        <v>106</v>
      </c>
      <c r="B55" s="117">
        <f t="shared" si="4"/>
        <v>2.8741081075669439</v>
      </c>
      <c r="C55" s="117">
        <f t="shared" si="5"/>
        <v>2.6549667013478966</v>
      </c>
      <c r="D55" s="117">
        <f t="shared" si="6"/>
        <v>2.7060660455132295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3.8" x14ac:dyDescent="0.25">
      <c r="A56" s="101" t="s">
        <v>108</v>
      </c>
      <c r="B56" s="117">
        <f t="shared" si="4"/>
        <v>5.3973691242915879E-2</v>
      </c>
      <c r="C56" s="117">
        <f t="shared" si="5"/>
        <v>5.3523437192382055E-2</v>
      </c>
      <c r="D56" s="117">
        <f t="shared" si="6"/>
        <v>5.2201154163231657E-2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3.8" x14ac:dyDescent="0.25">
      <c r="A57" s="101" t="s">
        <v>109</v>
      </c>
      <c r="B57" s="117">
        <f t="shared" si="4"/>
        <v>2.2535180896771128E-2</v>
      </c>
      <c r="C57" s="117">
        <f t="shared" si="5"/>
        <v>1.1281966405700981E-2</v>
      </c>
      <c r="D57" s="117">
        <f t="shared" si="6"/>
        <v>7.2945605002410988E-3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3.8" x14ac:dyDescent="0.25">
      <c r="A58" s="101" t="s">
        <v>116</v>
      </c>
      <c r="B58" s="117">
        <f>B44/$B$33</f>
        <v>-2.8429414487298059</v>
      </c>
      <c r="C58" s="117">
        <f>C44/$C$33</f>
        <v>-2.6357776815275398</v>
      </c>
      <c r="D58" s="117">
        <f>D44/$D$33</f>
        <v>-2.6944111745399679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3.8" x14ac:dyDescent="0.2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3.8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3.8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3.8" x14ac:dyDescent="0.2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3.8" x14ac:dyDescent="0.2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3.8" x14ac:dyDescent="0.2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3.8" x14ac:dyDescent="0.2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3.8" x14ac:dyDescent="0.25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3.8" x14ac:dyDescent="0.2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3.8" x14ac:dyDescent="0.2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3.8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3.8" x14ac:dyDescent="0.2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3.8" x14ac:dyDescent="0.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3.8" x14ac:dyDescent="0.2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3.8" x14ac:dyDescent="0.2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3.8" x14ac:dyDescent="0.2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3.8" x14ac:dyDescent="0.2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3.8" x14ac:dyDescent="0.2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3.8" x14ac:dyDescent="0.2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3.8" x14ac:dyDescent="0.2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3.8" x14ac:dyDescent="0.25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3.8" x14ac:dyDescent="0.25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3.8" x14ac:dyDescent="0.25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3.8" x14ac:dyDescent="0.25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3.8" x14ac:dyDescent="0.2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3.8" x14ac:dyDescent="0.2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3.8" x14ac:dyDescent="0.2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3.8" x14ac:dyDescent="0.2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3.8" x14ac:dyDescent="0.2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3.8" x14ac:dyDescent="0.25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3.8" x14ac:dyDescent="0.2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3.8" x14ac:dyDescent="0.2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3.8" x14ac:dyDescent="0.25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3.8" x14ac:dyDescent="0.25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3.8" x14ac:dyDescent="0.25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3.8" x14ac:dyDescent="0.25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3.8" x14ac:dyDescent="0.2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3.8" x14ac:dyDescent="0.2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3.8" x14ac:dyDescent="0.2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3.8" x14ac:dyDescent="0.2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3.8" x14ac:dyDescent="0.2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3.8" x14ac:dyDescent="0.2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3.8" x14ac:dyDescent="0.2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3.8" x14ac:dyDescent="0.2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3.8" x14ac:dyDescent="0.2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3.8" x14ac:dyDescent="0.2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3.8" x14ac:dyDescent="0.2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3.8" x14ac:dyDescent="0.2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3.8" x14ac:dyDescent="0.2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3.8" x14ac:dyDescent="0.2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3.8" x14ac:dyDescent="0.2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3.8" x14ac:dyDescent="0.2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3.8" x14ac:dyDescent="0.2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3.8" x14ac:dyDescent="0.2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3.8" x14ac:dyDescent="0.2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3.8" x14ac:dyDescent="0.2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3.8" x14ac:dyDescent="0.2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3.8" x14ac:dyDescent="0.2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3.8" x14ac:dyDescent="0.2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3.8" x14ac:dyDescent="0.2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3.8" x14ac:dyDescent="0.2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3.8" x14ac:dyDescent="0.2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3.8" x14ac:dyDescent="0.2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3.8" x14ac:dyDescent="0.2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3.8" x14ac:dyDescent="0.2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3.8" x14ac:dyDescent="0.2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3.8" x14ac:dyDescent="0.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3.8" x14ac:dyDescent="0.2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3.8" x14ac:dyDescent="0.2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3.8" x14ac:dyDescent="0.2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3.8" x14ac:dyDescent="0.2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3.8" x14ac:dyDescent="0.2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3.8" x14ac:dyDescent="0.2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3.8" x14ac:dyDescent="0.2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3.8" x14ac:dyDescent="0.2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3.8" x14ac:dyDescent="0.2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3.8" x14ac:dyDescent="0.2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3.8" x14ac:dyDescent="0.2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3.8" x14ac:dyDescent="0.2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3.8" x14ac:dyDescent="0.2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3.8" x14ac:dyDescent="0.25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3.8" x14ac:dyDescent="0.25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3.8" x14ac:dyDescent="0.25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3.8" x14ac:dyDescent="0.25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3.8" x14ac:dyDescent="0.25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3.8" x14ac:dyDescent="0.25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3.8" x14ac:dyDescent="0.2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3.8" x14ac:dyDescent="0.25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3.8" x14ac:dyDescent="0.25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3.8" x14ac:dyDescent="0.25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3.8" x14ac:dyDescent="0.25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3.8" x14ac:dyDescent="0.25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3.8" x14ac:dyDescent="0.25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3.8" x14ac:dyDescent="0.25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3.8" x14ac:dyDescent="0.25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3.8" x14ac:dyDescent="0.25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3.8" x14ac:dyDescent="0.2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3.8" x14ac:dyDescent="0.25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3.8" x14ac:dyDescent="0.25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3.8" x14ac:dyDescent="0.25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3.8" x14ac:dyDescent="0.25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3.8" x14ac:dyDescent="0.25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3.8" x14ac:dyDescent="0.25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3.8" x14ac:dyDescent="0.25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3.8" x14ac:dyDescent="0.25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3.8" x14ac:dyDescent="0.25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3.8" x14ac:dyDescent="0.2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3.8" x14ac:dyDescent="0.25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3.8" x14ac:dyDescent="0.25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3.8" x14ac:dyDescent="0.25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3.8" x14ac:dyDescent="0.25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3.8" x14ac:dyDescent="0.25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3.8" x14ac:dyDescent="0.25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3.8" x14ac:dyDescent="0.25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3.8" x14ac:dyDescent="0.25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3.8" x14ac:dyDescent="0.25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3.8" x14ac:dyDescent="0.2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3.8" x14ac:dyDescent="0.25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3.8" x14ac:dyDescent="0.25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3.8" x14ac:dyDescent="0.25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3.8" x14ac:dyDescent="0.25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3.8" x14ac:dyDescent="0.25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3.8" x14ac:dyDescent="0.25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3.8" x14ac:dyDescent="0.25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3.8" x14ac:dyDescent="0.25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3.8" x14ac:dyDescent="0.25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3.8" x14ac:dyDescent="0.2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3.8" x14ac:dyDescent="0.25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3.8" x14ac:dyDescent="0.25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3.8" x14ac:dyDescent="0.25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3.8" x14ac:dyDescent="0.25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3.8" x14ac:dyDescent="0.25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3.8" x14ac:dyDescent="0.25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3.8" x14ac:dyDescent="0.25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3.8" x14ac:dyDescent="0.25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3.8" x14ac:dyDescent="0.25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3.8" x14ac:dyDescent="0.2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3.8" x14ac:dyDescent="0.25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3.8" x14ac:dyDescent="0.25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3.8" x14ac:dyDescent="0.25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3.8" x14ac:dyDescent="0.25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3.8" x14ac:dyDescent="0.25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3.8" x14ac:dyDescent="0.25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3.8" x14ac:dyDescent="0.25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3.8" x14ac:dyDescent="0.25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3.8" x14ac:dyDescent="0.25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3.8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3.8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3.8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3.8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3.8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3.8" x14ac:dyDescent="0.25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3.8" x14ac:dyDescent="0.25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3.8" x14ac:dyDescent="0.25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3.8" x14ac:dyDescent="0.25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3.8" x14ac:dyDescent="0.25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3.8" x14ac:dyDescent="0.2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3.8" x14ac:dyDescent="0.25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3.8" x14ac:dyDescent="0.25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3.8" x14ac:dyDescent="0.25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3.8" x14ac:dyDescent="0.25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3.8" x14ac:dyDescent="0.25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3.8" x14ac:dyDescent="0.25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3.8" x14ac:dyDescent="0.25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3.8" x14ac:dyDescent="0.25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3.8" x14ac:dyDescent="0.25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3.8" x14ac:dyDescent="0.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3.8" x14ac:dyDescent="0.25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3.8" x14ac:dyDescent="0.25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3.8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3.8" x14ac:dyDescent="0.2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3.8" x14ac:dyDescent="0.25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3.8" x14ac:dyDescent="0.25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3.8" x14ac:dyDescent="0.25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3.8" x14ac:dyDescent="0.25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3.8" x14ac:dyDescent="0.25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3.8" x14ac:dyDescent="0.2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3.8" x14ac:dyDescent="0.25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3.8" x14ac:dyDescent="0.25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3.8" x14ac:dyDescent="0.25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3.8" x14ac:dyDescent="0.25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3.8" x14ac:dyDescent="0.25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3.8" x14ac:dyDescent="0.25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3.8" x14ac:dyDescent="0.25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3.8" x14ac:dyDescent="0.25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3.8" x14ac:dyDescent="0.25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3.8" x14ac:dyDescent="0.2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3.8" x14ac:dyDescent="0.25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3.8" x14ac:dyDescent="0.25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3.8" x14ac:dyDescent="0.25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3.8" x14ac:dyDescent="0.25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3.8" x14ac:dyDescent="0.25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3.8" x14ac:dyDescent="0.25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3.8" x14ac:dyDescent="0.25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3.8" x14ac:dyDescent="0.25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3.8" x14ac:dyDescent="0.25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3.8" x14ac:dyDescent="0.2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3.8" x14ac:dyDescent="0.25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3.8" x14ac:dyDescent="0.25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3.8" x14ac:dyDescent="0.25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3.8" x14ac:dyDescent="0.25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3.8" x14ac:dyDescent="0.25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3.8" x14ac:dyDescent="0.25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3.8" x14ac:dyDescent="0.25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3.8" x14ac:dyDescent="0.25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3.8" x14ac:dyDescent="0.25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3.8" x14ac:dyDescent="0.2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3.8" x14ac:dyDescent="0.25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3.8" x14ac:dyDescent="0.25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3.8" x14ac:dyDescent="0.25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3.8" x14ac:dyDescent="0.25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3.8" x14ac:dyDescent="0.25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3.8" x14ac:dyDescent="0.25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3.8" x14ac:dyDescent="0.25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3.8" x14ac:dyDescent="0.25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3.8" x14ac:dyDescent="0.25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3.8" x14ac:dyDescent="0.2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3.8" x14ac:dyDescent="0.25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3.8" x14ac:dyDescent="0.25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3.8" x14ac:dyDescent="0.25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3.8" x14ac:dyDescent="0.25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3.8" x14ac:dyDescent="0.25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3.8" x14ac:dyDescent="0.25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3.8" x14ac:dyDescent="0.25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3.8" x14ac:dyDescent="0.25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3.8" x14ac:dyDescent="0.25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3.8" x14ac:dyDescent="0.2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3.8" x14ac:dyDescent="0.25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3.8" x14ac:dyDescent="0.25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3.8" x14ac:dyDescent="0.25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3.8" x14ac:dyDescent="0.25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3.8" x14ac:dyDescent="0.25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3.8" x14ac:dyDescent="0.25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3.8" x14ac:dyDescent="0.25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3.8" x14ac:dyDescent="0.25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3.8" x14ac:dyDescent="0.25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3.8" x14ac:dyDescent="0.2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3.8" x14ac:dyDescent="0.25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3.8" x14ac:dyDescent="0.25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3.8" x14ac:dyDescent="0.25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3.8" x14ac:dyDescent="0.25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3.8" x14ac:dyDescent="0.25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3.8" x14ac:dyDescent="0.25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3.8" x14ac:dyDescent="0.25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3.8" x14ac:dyDescent="0.25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3.8" x14ac:dyDescent="0.25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3.8" x14ac:dyDescent="0.2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3.8" x14ac:dyDescent="0.25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3.8" x14ac:dyDescent="0.25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3.8" x14ac:dyDescent="0.25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3.8" x14ac:dyDescent="0.25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3.8" x14ac:dyDescent="0.25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3.8" x14ac:dyDescent="0.25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3.8" x14ac:dyDescent="0.25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3.8" x14ac:dyDescent="0.25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3.8" x14ac:dyDescent="0.25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3.8" x14ac:dyDescent="0.2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3.8" x14ac:dyDescent="0.25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3.8" x14ac:dyDescent="0.25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3.8" x14ac:dyDescent="0.25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3.8" x14ac:dyDescent="0.25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3.8" x14ac:dyDescent="0.25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3.8" x14ac:dyDescent="0.25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3.8" x14ac:dyDescent="0.25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3.8" x14ac:dyDescent="0.25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3.8" x14ac:dyDescent="0.25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3.8" x14ac:dyDescent="0.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3.8" x14ac:dyDescent="0.25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3.8" x14ac:dyDescent="0.25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3.8" x14ac:dyDescent="0.25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3.8" x14ac:dyDescent="0.25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3.8" x14ac:dyDescent="0.25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3.8" x14ac:dyDescent="0.25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3.8" x14ac:dyDescent="0.25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3.8" x14ac:dyDescent="0.25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3.8" x14ac:dyDescent="0.25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3.8" x14ac:dyDescent="0.2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3.8" x14ac:dyDescent="0.25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3.8" x14ac:dyDescent="0.25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3.8" x14ac:dyDescent="0.25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3.8" x14ac:dyDescent="0.25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3.8" x14ac:dyDescent="0.25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3.8" x14ac:dyDescent="0.25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3.8" x14ac:dyDescent="0.25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3.8" x14ac:dyDescent="0.25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3.8" x14ac:dyDescent="0.25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3.8" x14ac:dyDescent="0.2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3.8" x14ac:dyDescent="0.25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3.8" x14ac:dyDescent="0.25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3.8" x14ac:dyDescent="0.25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3.8" x14ac:dyDescent="0.25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3.8" x14ac:dyDescent="0.25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3.8" x14ac:dyDescent="0.25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3.8" x14ac:dyDescent="0.25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3.8" x14ac:dyDescent="0.25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3.8" x14ac:dyDescent="0.25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3.8" x14ac:dyDescent="0.2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3.8" x14ac:dyDescent="0.25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3.8" x14ac:dyDescent="0.25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3.8" x14ac:dyDescent="0.25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3.8" x14ac:dyDescent="0.25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3.8" x14ac:dyDescent="0.25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3.8" x14ac:dyDescent="0.25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3.8" x14ac:dyDescent="0.25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3.8" x14ac:dyDescent="0.25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3.8" x14ac:dyDescent="0.25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3.8" x14ac:dyDescent="0.2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3.8" x14ac:dyDescent="0.25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3.8" x14ac:dyDescent="0.25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3.8" x14ac:dyDescent="0.25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3.8" x14ac:dyDescent="0.25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3.8" x14ac:dyDescent="0.25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3.8" x14ac:dyDescent="0.25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3.8" x14ac:dyDescent="0.25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3.8" x14ac:dyDescent="0.25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3.8" x14ac:dyDescent="0.25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3.8" x14ac:dyDescent="0.2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3.8" x14ac:dyDescent="0.25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3.8" x14ac:dyDescent="0.25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3.8" x14ac:dyDescent="0.25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3.8" x14ac:dyDescent="0.25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3.8" x14ac:dyDescent="0.25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3.8" x14ac:dyDescent="0.25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3.8" x14ac:dyDescent="0.25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3.8" x14ac:dyDescent="0.25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3.8" x14ac:dyDescent="0.25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3.8" x14ac:dyDescent="0.2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3.8" x14ac:dyDescent="0.25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3.8" x14ac:dyDescent="0.25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3.8" x14ac:dyDescent="0.25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3.8" x14ac:dyDescent="0.25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3.8" x14ac:dyDescent="0.25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3.8" x14ac:dyDescent="0.25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3.8" x14ac:dyDescent="0.25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3.8" x14ac:dyDescent="0.25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3.8" x14ac:dyDescent="0.25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3.8" x14ac:dyDescent="0.2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3.8" x14ac:dyDescent="0.25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3.8" x14ac:dyDescent="0.25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3.8" x14ac:dyDescent="0.25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3.8" x14ac:dyDescent="0.25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3.8" x14ac:dyDescent="0.25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3.8" x14ac:dyDescent="0.25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3.8" x14ac:dyDescent="0.25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3.8" x14ac:dyDescent="0.25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3.8" x14ac:dyDescent="0.25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3.8" x14ac:dyDescent="0.2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3.8" x14ac:dyDescent="0.25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3.8" x14ac:dyDescent="0.25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3.8" x14ac:dyDescent="0.25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3.8" x14ac:dyDescent="0.25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3.8" x14ac:dyDescent="0.25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3.8" x14ac:dyDescent="0.25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3.8" x14ac:dyDescent="0.25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3.8" x14ac:dyDescent="0.25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3.8" x14ac:dyDescent="0.25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3.8" x14ac:dyDescent="0.2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3.8" x14ac:dyDescent="0.25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3.8" x14ac:dyDescent="0.25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3.8" x14ac:dyDescent="0.25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3.8" x14ac:dyDescent="0.25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3.8" x14ac:dyDescent="0.25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3.8" x14ac:dyDescent="0.25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3.8" x14ac:dyDescent="0.25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3.8" x14ac:dyDescent="0.25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3.8" x14ac:dyDescent="0.25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3.8" x14ac:dyDescent="0.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3.8" x14ac:dyDescent="0.25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3.8" x14ac:dyDescent="0.25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3.8" x14ac:dyDescent="0.25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3.8" x14ac:dyDescent="0.25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3.8" x14ac:dyDescent="0.25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3.8" x14ac:dyDescent="0.25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3.8" x14ac:dyDescent="0.25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3.8" x14ac:dyDescent="0.25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3.8" x14ac:dyDescent="0.25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3.8" x14ac:dyDescent="0.2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3.8" x14ac:dyDescent="0.25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3.8" x14ac:dyDescent="0.25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3.8" x14ac:dyDescent="0.25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3.8" x14ac:dyDescent="0.25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3.8" x14ac:dyDescent="0.25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3.8" x14ac:dyDescent="0.25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3.8" x14ac:dyDescent="0.25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3.8" x14ac:dyDescent="0.25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3.8" x14ac:dyDescent="0.25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3.8" x14ac:dyDescent="0.2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3.8" x14ac:dyDescent="0.25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3.8" x14ac:dyDescent="0.25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3.8" x14ac:dyDescent="0.25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3.8" x14ac:dyDescent="0.25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3.8" x14ac:dyDescent="0.25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3.8" x14ac:dyDescent="0.25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3.8" x14ac:dyDescent="0.25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3.8" x14ac:dyDescent="0.25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3.8" x14ac:dyDescent="0.25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3.8" x14ac:dyDescent="0.2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3.8" x14ac:dyDescent="0.25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3.8" x14ac:dyDescent="0.25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3.8" x14ac:dyDescent="0.25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3.8" x14ac:dyDescent="0.25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3.8" x14ac:dyDescent="0.25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3.8" x14ac:dyDescent="0.25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3.8" x14ac:dyDescent="0.25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3.8" x14ac:dyDescent="0.25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3.8" x14ac:dyDescent="0.25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3.8" x14ac:dyDescent="0.2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3.8" x14ac:dyDescent="0.25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3.8" x14ac:dyDescent="0.25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3.8" x14ac:dyDescent="0.25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3.8" x14ac:dyDescent="0.25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3.8" x14ac:dyDescent="0.25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3.8" x14ac:dyDescent="0.25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3.8" x14ac:dyDescent="0.25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3.8" x14ac:dyDescent="0.25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3.8" x14ac:dyDescent="0.25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3.8" x14ac:dyDescent="0.2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3.8" x14ac:dyDescent="0.25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3.8" x14ac:dyDescent="0.25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3.8" x14ac:dyDescent="0.25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3.8" x14ac:dyDescent="0.25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3.8" x14ac:dyDescent="0.25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3.8" x14ac:dyDescent="0.25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3.8" x14ac:dyDescent="0.25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3.8" x14ac:dyDescent="0.25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3.8" x14ac:dyDescent="0.25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3.8" x14ac:dyDescent="0.2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3.8" x14ac:dyDescent="0.25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3.8" x14ac:dyDescent="0.25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3.8" x14ac:dyDescent="0.25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3.8" x14ac:dyDescent="0.25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3.8" x14ac:dyDescent="0.25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3.8" x14ac:dyDescent="0.25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3.8" x14ac:dyDescent="0.25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3.8" x14ac:dyDescent="0.25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3.8" x14ac:dyDescent="0.25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3.8" x14ac:dyDescent="0.2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3.8" x14ac:dyDescent="0.25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3.8" x14ac:dyDescent="0.25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3.8" x14ac:dyDescent="0.25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3.8" x14ac:dyDescent="0.25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3.8" x14ac:dyDescent="0.25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3.8" x14ac:dyDescent="0.25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3.8" x14ac:dyDescent="0.25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3.8" x14ac:dyDescent="0.25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3.8" x14ac:dyDescent="0.25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3.8" x14ac:dyDescent="0.2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3.8" x14ac:dyDescent="0.25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3.8" x14ac:dyDescent="0.25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3.8" x14ac:dyDescent="0.25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3.8" x14ac:dyDescent="0.25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3.8" x14ac:dyDescent="0.25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3.8" x14ac:dyDescent="0.25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3.8" x14ac:dyDescent="0.25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3.8" x14ac:dyDescent="0.25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3.8" x14ac:dyDescent="0.25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3.8" x14ac:dyDescent="0.2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3.8" x14ac:dyDescent="0.25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3.8" x14ac:dyDescent="0.25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3.8" x14ac:dyDescent="0.25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3.8" x14ac:dyDescent="0.25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3.8" x14ac:dyDescent="0.25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3.8" x14ac:dyDescent="0.25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3.8" x14ac:dyDescent="0.25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3.8" x14ac:dyDescent="0.25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3.8" x14ac:dyDescent="0.25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3.8" x14ac:dyDescent="0.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3.8" x14ac:dyDescent="0.25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3.8" x14ac:dyDescent="0.25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3.8" x14ac:dyDescent="0.25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3.8" x14ac:dyDescent="0.25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3.8" x14ac:dyDescent="0.25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3.8" x14ac:dyDescent="0.25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3.8" x14ac:dyDescent="0.25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3.8" x14ac:dyDescent="0.25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3.8" x14ac:dyDescent="0.25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3.8" x14ac:dyDescent="0.2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3.8" x14ac:dyDescent="0.25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3.8" x14ac:dyDescent="0.25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3.8" x14ac:dyDescent="0.25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3.8" x14ac:dyDescent="0.25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3.8" x14ac:dyDescent="0.25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3.8" x14ac:dyDescent="0.25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3.8" x14ac:dyDescent="0.25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3.8" x14ac:dyDescent="0.25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3.8" x14ac:dyDescent="0.25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3.8" x14ac:dyDescent="0.2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3.8" x14ac:dyDescent="0.25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3.8" x14ac:dyDescent="0.25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3.8" x14ac:dyDescent="0.25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3.8" x14ac:dyDescent="0.25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3.8" x14ac:dyDescent="0.25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3.8" x14ac:dyDescent="0.25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3.8" x14ac:dyDescent="0.25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3.8" x14ac:dyDescent="0.25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3.8" x14ac:dyDescent="0.25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3.8" x14ac:dyDescent="0.2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3.8" x14ac:dyDescent="0.25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3.8" x14ac:dyDescent="0.25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3.8" x14ac:dyDescent="0.25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3.8" x14ac:dyDescent="0.25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3.8" x14ac:dyDescent="0.25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3.8" x14ac:dyDescent="0.25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3.8" x14ac:dyDescent="0.25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3.8" x14ac:dyDescent="0.25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3.8" x14ac:dyDescent="0.25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3.8" x14ac:dyDescent="0.2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3.8" x14ac:dyDescent="0.25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3.8" x14ac:dyDescent="0.25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3.8" x14ac:dyDescent="0.25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3.8" x14ac:dyDescent="0.25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3.8" x14ac:dyDescent="0.25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3.8" x14ac:dyDescent="0.25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3.8" x14ac:dyDescent="0.25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3.8" x14ac:dyDescent="0.25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3.8" x14ac:dyDescent="0.25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3.8" x14ac:dyDescent="0.2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3.8" x14ac:dyDescent="0.25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3.8" x14ac:dyDescent="0.25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3.8" x14ac:dyDescent="0.25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3.8" x14ac:dyDescent="0.25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3.8" x14ac:dyDescent="0.25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3.8" x14ac:dyDescent="0.25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3.8" x14ac:dyDescent="0.25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3.8" x14ac:dyDescent="0.25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3.8" x14ac:dyDescent="0.25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3.8" x14ac:dyDescent="0.2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3.8" x14ac:dyDescent="0.25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3.8" x14ac:dyDescent="0.25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3.8" x14ac:dyDescent="0.25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3.8" x14ac:dyDescent="0.25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3.8" x14ac:dyDescent="0.25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3.8" x14ac:dyDescent="0.25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3.8" x14ac:dyDescent="0.25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3.8" x14ac:dyDescent="0.25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3.8" x14ac:dyDescent="0.25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3.8" x14ac:dyDescent="0.2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3.8" x14ac:dyDescent="0.25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3.8" x14ac:dyDescent="0.25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3.8" x14ac:dyDescent="0.25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3.8" x14ac:dyDescent="0.25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3.8" x14ac:dyDescent="0.25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3.8" x14ac:dyDescent="0.25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3.8" x14ac:dyDescent="0.25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3.8" x14ac:dyDescent="0.25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3.8" x14ac:dyDescent="0.25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3.8" x14ac:dyDescent="0.2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3.8" x14ac:dyDescent="0.25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3.8" x14ac:dyDescent="0.25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3.8" x14ac:dyDescent="0.25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3.8" x14ac:dyDescent="0.25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3.8" x14ac:dyDescent="0.25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3.8" x14ac:dyDescent="0.25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3.8" x14ac:dyDescent="0.25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3.8" x14ac:dyDescent="0.25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3.8" x14ac:dyDescent="0.25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3.8" x14ac:dyDescent="0.2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3.8" x14ac:dyDescent="0.25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3.8" x14ac:dyDescent="0.25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3.8" x14ac:dyDescent="0.25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3.8" x14ac:dyDescent="0.25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3.8" x14ac:dyDescent="0.25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3.8" x14ac:dyDescent="0.25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3.8" x14ac:dyDescent="0.25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3.8" x14ac:dyDescent="0.25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3.8" x14ac:dyDescent="0.25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3.8" x14ac:dyDescent="0.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3.8" x14ac:dyDescent="0.25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3.8" x14ac:dyDescent="0.25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3.8" x14ac:dyDescent="0.25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3.8" x14ac:dyDescent="0.25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3.8" x14ac:dyDescent="0.25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3.8" x14ac:dyDescent="0.25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3.8" x14ac:dyDescent="0.25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3.8" x14ac:dyDescent="0.25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3.8" x14ac:dyDescent="0.25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3.8" x14ac:dyDescent="0.2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3.8" x14ac:dyDescent="0.25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3.8" x14ac:dyDescent="0.25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3.8" x14ac:dyDescent="0.25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3.8" x14ac:dyDescent="0.25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3.8" x14ac:dyDescent="0.25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3.8" x14ac:dyDescent="0.25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3.8" x14ac:dyDescent="0.25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3.8" x14ac:dyDescent="0.25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3.8" x14ac:dyDescent="0.25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3.8" x14ac:dyDescent="0.2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3.8" x14ac:dyDescent="0.25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3.8" x14ac:dyDescent="0.25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3.8" x14ac:dyDescent="0.25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3.8" x14ac:dyDescent="0.25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3.8" x14ac:dyDescent="0.25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3.8" x14ac:dyDescent="0.25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3.8" x14ac:dyDescent="0.25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3.8" x14ac:dyDescent="0.25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3.8" x14ac:dyDescent="0.25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3.8" x14ac:dyDescent="0.2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3.8" x14ac:dyDescent="0.25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3.8" x14ac:dyDescent="0.25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3.8" x14ac:dyDescent="0.25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3.8" x14ac:dyDescent="0.25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3.8" x14ac:dyDescent="0.25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3.8" x14ac:dyDescent="0.25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3.8" x14ac:dyDescent="0.25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3.8" x14ac:dyDescent="0.25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3.8" x14ac:dyDescent="0.25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3.8" x14ac:dyDescent="0.2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3.8" x14ac:dyDescent="0.25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3.8" x14ac:dyDescent="0.25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3.8" x14ac:dyDescent="0.25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3.8" x14ac:dyDescent="0.25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3.8" x14ac:dyDescent="0.25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3.8" x14ac:dyDescent="0.25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3.8" x14ac:dyDescent="0.25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3.8" x14ac:dyDescent="0.25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3.8" x14ac:dyDescent="0.25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3.8" x14ac:dyDescent="0.2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3.8" x14ac:dyDescent="0.25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3.8" x14ac:dyDescent="0.25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3.8" x14ac:dyDescent="0.25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3.8" x14ac:dyDescent="0.25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3.8" x14ac:dyDescent="0.25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3.8" x14ac:dyDescent="0.25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3.8" x14ac:dyDescent="0.25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3.8" x14ac:dyDescent="0.25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3.8" x14ac:dyDescent="0.25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3.8" x14ac:dyDescent="0.2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3.8" x14ac:dyDescent="0.25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3.8" x14ac:dyDescent="0.25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3.8" x14ac:dyDescent="0.25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3.8" x14ac:dyDescent="0.25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3.8" x14ac:dyDescent="0.25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3.8" x14ac:dyDescent="0.25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3.8" x14ac:dyDescent="0.25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3.8" x14ac:dyDescent="0.25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3.8" x14ac:dyDescent="0.25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3.8" x14ac:dyDescent="0.2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3.8" x14ac:dyDescent="0.25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3.8" x14ac:dyDescent="0.25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3.8" x14ac:dyDescent="0.25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3.8" x14ac:dyDescent="0.25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3.8" x14ac:dyDescent="0.25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3.8" x14ac:dyDescent="0.25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3.8" x14ac:dyDescent="0.25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3.8" x14ac:dyDescent="0.25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3.8" x14ac:dyDescent="0.25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3.8" x14ac:dyDescent="0.2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3.8" x14ac:dyDescent="0.25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3.8" x14ac:dyDescent="0.25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3.8" x14ac:dyDescent="0.25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3.8" x14ac:dyDescent="0.25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3.8" x14ac:dyDescent="0.25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3.8" x14ac:dyDescent="0.25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3.8" x14ac:dyDescent="0.25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3.8" x14ac:dyDescent="0.25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3.8" x14ac:dyDescent="0.25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3.8" x14ac:dyDescent="0.2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3.8" x14ac:dyDescent="0.25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3.8" x14ac:dyDescent="0.25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3.8" x14ac:dyDescent="0.25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3.8" x14ac:dyDescent="0.25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3.8" x14ac:dyDescent="0.25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3.8" x14ac:dyDescent="0.25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3.8" x14ac:dyDescent="0.25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3.8" x14ac:dyDescent="0.25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3.8" x14ac:dyDescent="0.25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3.8" x14ac:dyDescent="0.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3.8" x14ac:dyDescent="0.25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3.8" x14ac:dyDescent="0.25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3.8" x14ac:dyDescent="0.25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3.8" x14ac:dyDescent="0.25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3.8" x14ac:dyDescent="0.25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3.8" x14ac:dyDescent="0.25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3.8" x14ac:dyDescent="0.25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3.8" x14ac:dyDescent="0.25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3.8" x14ac:dyDescent="0.25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3.8" x14ac:dyDescent="0.2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3.8" x14ac:dyDescent="0.25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3.8" x14ac:dyDescent="0.25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3.8" x14ac:dyDescent="0.25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3.8" x14ac:dyDescent="0.25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3.8" x14ac:dyDescent="0.25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3.8" x14ac:dyDescent="0.25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3.8" x14ac:dyDescent="0.25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3.8" x14ac:dyDescent="0.25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3.8" x14ac:dyDescent="0.25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3.8" x14ac:dyDescent="0.2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3.8" x14ac:dyDescent="0.25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3.8" x14ac:dyDescent="0.25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3.8" x14ac:dyDescent="0.25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3.8" x14ac:dyDescent="0.25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3.8" x14ac:dyDescent="0.25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3.8" x14ac:dyDescent="0.25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3.8" x14ac:dyDescent="0.25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3.8" x14ac:dyDescent="0.25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3.8" x14ac:dyDescent="0.25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3.8" x14ac:dyDescent="0.2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3.8" x14ac:dyDescent="0.25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3.8" x14ac:dyDescent="0.25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3.8" x14ac:dyDescent="0.25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3.8" x14ac:dyDescent="0.25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3.8" x14ac:dyDescent="0.25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3.8" x14ac:dyDescent="0.25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3.8" x14ac:dyDescent="0.25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3.8" x14ac:dyDescent="0.25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3.8" x14ac:dyDescent="0.25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3.8" x14ac:dyDescent="0.2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3.8" x14ac:dyDescent="0.25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3.8" x14ac:dyDescent="0.25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3.8" x14ac:dyDescent="0.25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3.8" x14ac:dyDescent="0.25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3.8" x14ac:dyDescent="0.25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3.8" x14ac:dyDescent="0.25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3.8" x14ac:dyDescent="0.25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3.8" x14ac:dyDescent="0.25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3.8" x14ac:dyDescent="0.25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3.8" x14ac:dyDescent="0.2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3.8" x14ac:dyDescent="0.25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3.8" x14ac:dyDescent="0.25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3.8" x14ac:dyDescent="0.25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3.8" x14ac:dyDescent="0.25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3.8" x14ac:dyDescent="0.25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3.8" x14ac:dyDescent="0.25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3.8" x14ac:dyDescent="0.25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3.8" x14ac:dyDescent="0.25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3.8" x14ac:dyDescent="0.25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3.8" x14ac:dyDescent="0.2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3.8" x14ac:dyDescent="0.25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3.8" x14ac:dyDescent="0.25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3.8" x14ac:dyDescent="0.25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3.8" x14ac:dyDescent="0.25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3.8" x14ac:dyDescent="0.25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3.8" x14ac:dyDescent="0.25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3.8" x14ac:dyDescent="0.25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3.8" x14ac:dyDescent="0.25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3.8" x14ac:dyDescent="0.25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3.8" x14ac:dyDescent="0.2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3.8" x14ac:dyDescent="0.25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3.8" x14ac:dyDescent="0.25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3.8" x14ac:dyDescent="0.25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3.8" x14ac:dyDescent="0.25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3.8" x14ac:dyDescent="0.25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3.8" x14ac:dyDescent="0.25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3.8" x14ac:dyDescent="0.25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3.8" x14ac:dyDescent="0.25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3.8" x14ac:dyDescent="0.25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3.8" x14ac:dyDescent="0.2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3.8" x14ac:dyDescent="0.25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3.8" x14ac:dyDescent="0.25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3.8" x14ac:dyDescent="0.25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3.8" x14ac:dyDescent="0.25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3.8" x14ac:dyDescent="0.25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3.8" x14ac:dyDescent="0.25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3.8" x14ac:dyDescent="0.25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3.8" x14ac:dyDescent="0.25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3.8" x14ac:dyDescent="0.25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3.8" x14ac:dyDescent="0.2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3.8" x14ac:dyDescent="0.25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3.8" x14ac:dyDescent="0.25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3.8" x14ac:dyDescent="0.25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3.8" x14ac:dyDescent="0.25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3.8" x14ac:dyDescent="0.25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3.8" x14ac:dyDescent="0.25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3.8" x14ac:dyDescent="0.25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3.8" x14ac:dyDescent="0.25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3.8" x14ac:dyDescent="0.25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3.8" x14ac:dyDescent="0.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3.8" x14ac:dyDescent="0.25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3.8" x14ac:dyDescent="0.25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3.8" x14ac:dyDescent="0.25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3.8" x14ac:dyDescent="0.25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3.8" x14ac:dyDescent="0.25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3.8" x14ac:dyDescent="0.25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3.8" x14ac:dyDescent="0.25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3.8" x14ac:dyDescent="0.25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3.8" x14ac:dyDescent="0.25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3.8" x14ac:dyDescent="0.2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3.8" x14ac:dyDescent="0.25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3.8" x14ac:dyDescent="0.25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3.8" x14ac:dyDescent="0.25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3.8" x14ac:dyDescent="0.25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3.8" x14ac:dyDescent="0.25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3.8" x14ac:dyDescent="0.25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3.8" x14ac:dyDescent="0.25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3.8" x14ac:dyDescent="0.25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3.8" x14ac:dyDescent="0.25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3.8" x14ac:dyDescent="0.2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3.8" x14ac:dyDescent="0.25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3.8" x14ac:dyDescent="0.25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3.8" x14ac:dyDescent="0.25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3.8" x14ac:dyDescent="0.25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3.8" x14ac:dyDescent="0.25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3.8" x14ac:dyDescent="0.25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3.8" x14ac:dyDescent="0.25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3.8" x14ac:dyDescent="0.25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3.8" x14ac:dyDescent="0.25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3.8" x14ac:dyDescent="0.2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3.8" x14ac:dyDescent="0.25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3.8" x14ac:dyDescent="0.25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3.8" x14ac:dyDescent="0.25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3.8" x14ac:dyDescent="0.25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3.8" x14ac:dyDescent="0.25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3.8" x14ac:dyDescent="0.25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3.8" x14ac:dyDescent="0.25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3.8" x14ac:dyDescent="0.25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3.8" x14ac:dyDescent="0.25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3.8" x14ac:dyDescent="0.2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3.8" x14ac:dyDescent="0.25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3.8" x14ac:dyDescent="0.25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3.8" x14ac:dyDescent="0.25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3.8" x14ac:dyDescent="0.25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3.8" x14ac:dyDescent="0.25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3.8" x14ac:dyDescent="0.25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3.8" x14ac:dyDescent="0.25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3.8" x14ac:dyDescent="0.25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3.8" x14ac:dyDescent="0.25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3.8" x14ac:dyDescent="0.2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3.8" x14ac:dyDescent="0.25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3.8" x14ac:dyDescent="0.25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3.8" x14ac:dyDescent="0.25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3.8" x14ac:dyDescent="0.25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3.8" x14ac:dyDescent="0.25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3.8" x14ac:dyDescent="0.25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3.8" x14ac:dyDescent="0.25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3.8" x14ac:dyDescent="0.25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3.8" x14ac:dyDescent="0.25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3.8" x14ac:dyDescent="0.2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3.8" x14ac:dyDescent="0.25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3.8" x14ac:dyDescent="0.25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3.8" x14ac:dyDescent="0.25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3.8" x14ac:dyDescent="0.25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3.8" x14ac:dyDescent="0.25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3.8" x14ac:dyDescent="0.25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3.8" x14ac:dyDescent="0.25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3.8" x14ac:dyDescent="0.25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3.8" x14ac:dyDescent="0.25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3.8" x14ac:dyDescent="0.2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3.8" x14ac:dyDescent="0.25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3.8" x14ac:dyDescent="0.25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3.8" x14ac:dyDescent="0.25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3.8" x14ac:dyDescent="0.25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3.8" x14ac:dyDescent="0.25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3.8" x14ac:dyDescent="0.25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3.8" x14ac:dyDescent="0.25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3.8" x14ac:dyDescent="0.25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3.8" x14ac:dyDescent="0.25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3.8" x14ac:dyDescent="0.2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3.8" x14ac:dyDescent="0.25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3.8" x14ac:dyDescent="0.25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3.8" x14ac:dyDescent="0.25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3.8" x14ac:dyDescent="0.25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3.8" x14ac:dyDescent="0.25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3.8" x14ac:dyDescent="0.25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3.8" x14ac:dyDescent="0.25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3.8" x14ac:dyDescent="0.25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3.8" x14ac:dyDescent="0.25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3.8" x14ac:dyDescent="0.2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3.8" x14ac:dyDescent="0.25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3.8" x14ac:dyDescent="0.25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3.8" x14ac:dyDescent="0.25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3.8" x14ac:dyDescent="0.25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3.8" x14ac:dyDescent="0.25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3.8" x14ac:dyDescent="0.25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3.8" x14ac:dyDescent="0.25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3.8" x14ac:dyDescent="0.25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3.8" x14ac:dyDescent="0.25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3.8" x14ac:dyDescent="0.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3.8" x14ac:dyDescent="0.25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3.8" x14ac:dyDescent="0.25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3.8" x14ac:dyDescent="0.25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3.8" x14ac:dyDescent="0.25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3.8" x14ac:dyDescent="0.25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3.8" x14ac:dyDescent="0.25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3.8" x14ac:dyDescent="0.25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3.8" x14ac:dyDescent="0.25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3.8" x14ac:dyDescent="0.25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3.8" x14ac:dyDescent="0.2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3.8" x14ac:dyDescent="0.25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3.8" x14ac:dyDescent="0.25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3.8" x14ac:dyDescent="0.25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3.8" x14ac:dyDescent="0.25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3.8" x14ac:dyDescent="0.25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3.8" x14ac:dyDescent="0.25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3.8" x14ac:dyDescent="0.25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3.8" x14ac:dyDescent="0.25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3.8" x14ac:dyDescent="0.25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3.8" x14ac:dyDescent="0.2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3.8" x14ac:dyDescent="0.25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3.8" x14ac:dyDescent="0.25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3.8" x14ac:dyDescent="0.25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3.8" x14ac:dyDescent="0.25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3.8" x14ac:dyDescent="0.25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3.8" x14ac:dyDescent="0.25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3.8" x14ac:dyDescent="0.25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3.8" x14ac:dyDescent="0.25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3.8" x14ac:dyDescent="0.25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3.8" x14ac:dyDescent="0.2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3.8" x14ac:dyDescent="0.25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3.8" x14ac:dyDescent="0.25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3.8" x14ac:dyDescent="0.25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3.8" x14ac:dyDescent="0.25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3.8" x14ac:dyDescent="0.25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3.8" x14ac:dyDescent="0.25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3.8" x14ac:dyDescent="0.25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3.8" x14ac:dyDescent="0.25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3.8" x14ac:dyDescent="0.25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3.8" x14ac:dyDescent="0.2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3.8" x14ac:dyDescent="0.25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3.8" x14ac:dyDescent="0.25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3.8" x14ac:dyDescent="0.25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3.8" x14ac:dyDescent="0.25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3.8" x14ac:dyDescent="0.25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3.8" x14ac:dyDescent="0.25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3.8" x14ac:dyDescent="0.25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3.8" x14ac:dyDescent="0.25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3.8" x14ac:dyDescent="0.25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3.8" x14ac:dyDescent="0.2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3.8" x14ac:dyDescent="0.25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3.8" x14ac:dyDescent="0.25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3.8" x14ac:dyDescent="0.25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3.8" x14ac:dyDescent="0.25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3.8" x14ac:dyDescent="0.25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3.8" x14ac:dyDescent="0.25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3.8" x14ac:dyDescent="0.25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3.8" x14ac:dyDescent="0.25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3.8" x14ac:dyDescent="0.25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3.8" x14ac:dyDescent="0.2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3.8" x14ac:dyDescent="0.25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3.8" x14ac:dyDescent="0.25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3.8" x14ac:dyDescent="0.25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3.8" x14ac:dyDescent="0.25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3.8" x14ac:dyDescent="0.25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3.8" x14ac:dyDescent="0.25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3.8" x14ac:dyDescent="0.25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3.8" x14ac:dyDescent="0.25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3.8" x14ac:dyDescent="0.25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3.8" x14ac:dyDescent="0.2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3.8" x14ac:dyDescent="0.25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3.8" x14ac:dyDescent="0.25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</sheetData>
  <mergeCells count="3">
    <mergeCell ref="A1:D1"/>
    <mergeCell ref="A25:F25"/>
    <mergeCell ref="A46:D4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1"/>
  <sheetViews>
    <sheetView zoomScaleNormal="100" workbookViewId="0">
      <selection activeCell="E2" sqref="E2:I23"/>
    </sheetView>
  </sheetViews>
  <sheetFormatPr defaultColWidth="12.6640625" defaultRowHeight="13.2" x14ac:dyDescent="0.25"/>
  <cols>
    <col min="1" max="1" width="49.6640625" customWidth="1"/>
  </cols>
  <sheetData>
    <row r="1" spans="1:26" ht="21" x14ac:dyDescent="0.4">
      <c r="A1" s="2" t="s">
        <v>126</v>
      </c>
      <c r="B1" s="2"/>
      <c r="C1" s="2"/>
      <c r="D1" s="2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4.4" x14ac:dyDescent="0.3">
      <c r="A2" s="56"/>
      <c r="B2" s="37"/>
      <c r="C2" s="37"/>
      <c r="D2" s="3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4.4" x14ac:dyDescent="0.3">
      <c r="A3" s="57" t="s">
        <v>85</v>
      </c>
      <c r="B3" s="57" t="s">
        <v>59</v>
      </c>
      <c r="C3" s="57" t="s">
        <v>60</v>
      </c>
      <c r="D3" s="57" t="s">
        <v>61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4.4" x14ac:dyDescent="0.3">
      <c r="A4" s="107" t="s">
        <v>127</v>
      </c>
      <c r="B4" s="120">
        <v>2406.7741999999998</v>
      </c>
      <c r="C4" s="120">
        <v>1147.3</v>
      </c>
      <c r="D4" s="120">
        <v>2621.97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4.4" x14ac:dyDescent="0.3">
      <c r="A5" s="107" t="s">
        <v>128</v>
      </c>
      <c r="B5" s="120">
        <v>-1920.7360000000001</v>
      </c>
      <c r="C5" s="120">
        <v>-1137.26</v>
      </c>
      <c r="D5" s="120">
        <v>-1732.72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4.4" x14ac:dyDescent="0.3">
      <c r="A6" s="107" t="s">
        <v>129</v>
      </c>
      <c r="B6" s="120">
        <v>-354.59059999999999</v>
      </c>
      <c r="C6" s="120">
        <v>-257.05</v>
      </c>
      <c r="D6" s="120">
        <v>-335.54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4.4" x14ac:dyDescent="0.3">
      <c r="A7" s="106" t="s">
        <v>130</v>
      </c>
      <c r="B7" s="121">
        <f>SUM(B4:B6)</f>
        <v>131.44759999999974</v>
      </c>
      <c r="C7" s="121">
        <f>SUM(C4:C6)</f>
        <v>-247.01000000000005</v>
      </c>
      <c r="D7" s="121">
        <f>SUM(D4:D6)</f>
        <v>553.70999999999981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4.4" x14ac:dyDescent="0.3">
      <c r="A8" s="107" t="s">
        <v>131</v>
      </c>
      <c r="B8" s="120">
        <v>203.1293</v>
      </c>
      <c r="C8" s="120">
        <f>B9</f>
        <v>334.57689999999974</v>
      </c>
      <c r="D8" s="120">
        <v>86.62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4.4" x14ac:dyDescent="0.3">
      <c r="A9" s="106" t="s">
        <v>132</v>
      </c>
      <c r="B9" s="121">
        <f>SUM(B7:B8)</f>
        <v>334.57689999999974</v>
      </c>
      <c r="C9" s="121">
        <f>SUM(C7:C8)</f>
        <v>87.566899999999691</v>
      </c>
      <c r="D9" s="121">
        <f>SUM(D7:D8)</f>
        <v>640.32999999999981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4.4" x14ac:dyDescent="0.3">
      <c r="A10" s="122"/>
      <c r="B10" s="123"/>
      <c r="C10" s="123"/>
      <c r="D10" s="123"/>
    </row>
    <row r="11" spans="1:26" ht="14.4" x14ac:dyDescent="0.3">
      <c r="A11" s="122"/>
      <c r="B11" s="123"/>
      <c r="C11" s="123"/>
      <c r="D11" s="123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9"/>
  <sheetViews>
    <sheetView topLeftCell="A14" zoomScaleNormal="100" workbookViewId="0">
      <selection activeCell="B31" sqref="B31"/>
    </sheetView>
  </sheetViews>
  <sheetFormatPr defaultColWidth="12.6640625" defaultRowHeight="13.2" x14ac:dyDescent="0.25"/>
  <cols>
    <col min="1" max="1" width="44.6640625" bestFit="1" customWidth="1"/>
    <col min="2" max="3" width="13.77734375" bestFit="1" customWidth="1"/>
    <col min="4" max="4" width="9" bestFit="1" customWidth="1"/>
  </cols>
  <sheetData>
    <row r="1" spans="1:6" ht="19.8" x14ac:dyDescent="0.4">
      <c r="A1" s="1" t="s">
        <v>133</v>
      </c>
      <c r="B1" s="1"/>
      <c r="C1" s="1"/>
      <c r="D1" s="1"/>
      <c r="E1" s="1"/>
      <c r="F1" s="1"/>
    </row>
    <row r="2" spans="1:6" ht="14.4" x14ac:dyDescent="0.3">
      <c r="A2" s="58" t="s">
        <v>134</v>
      </c>
      <c r="B2" s="58" t="s">
        <v>59</v>
      </c>
      <c r="C2" s="58" t="s">
        <v>60</v>
      </c>
      <c r="D2" s="58" t="s">
        <v>61</v>
      </c>
    </row>
    <row r="3" spans="1:6" ht="14.4" x14ac:dyDescent="0.25">
      <c r="A3" s="59" t="s">
        <v>135</v>
      </c>
      <c r="B3" s="60">
        <f>'Profit &amp; Loss Account'!B24</f>
        <v>1918.5900000000001</v>
      </c>
      <c r="C3" s="60">
        <f>'Profit &amp; Loss Account'!C24</f>
        <v>2508.2900000000004</v>
      </c>
      <c r="D3" s="60">
        <f>'Profit &amp; Loss Account'!D24</f>
        <v>2771.9399999999996</v>
      </c>
    </row>
    <row r="4" spans="1:6" ht="14.4" x14ac:dyDescent="0.25">
      <c r="A4" s="124" t="s">
        <v>136</v>
      </c>
      <c r="B4" s="125">
        <f>'Balance Sheet'!B11+'Balance Sheet'!B12+'Balance Sheet'!B13+'Balance Sheet'!B14+'Balance Sheet'!B15+'Balance Sheet'!B18</f>
        <v>63308.29</v>
      </c>
      <c r="C4" s="125">
        <f>'Balance Sheet'!C11+'Balance Sheet'!C12+'Balance Sheet'!C13+'Balance Sheet'!C14+'Balance Sheet'!C15+'Balance Sheet'!C18</f>
        <v>69020.260000000009</v>
      </c>
      <c r="D4" s="125">
        <f>'Balance Sheet'!D11+'Balance Sheet'!D12+'Balance Sheet'!D13+'Balance Sheet'!D14+'Balance Sheet'!D15+'Balance Sheet'!D18</f>
        <v>76110.94</v>
      </c>
    </row>
    <row r="5" spans="1:6" ht="14.4" x14ac:dyDescent="0.25">
      <c r="A5" s="124" t="s">
        <v>137</v>
      </c>
      <c r="B5" s="125">
        <f>'Cash Flow Summary'!B4</f>
        <v>2406.7741999999998</v>
      </c>
      <c r="C5" s="125">
        <f>'Cash Flow Summary'!C4</f>
        <v>1147.3</v>
      </c>
      <c r="D5" s="125">
        <f>'Cash Flow Summary'!D4</f>
        <v>2621.97</v>
      </c>
    </row>
    <row r="6" spans="1:6" ht="14.4" x14ac:dyDescent="0.25">
      <c r="A6" s="124" t="s">
        <v>103</v>
      </c>
      <c r="B6" s="125">
        <f>'Balance Sheet'!B9</f>
        <v>35</v>
      </c>
      <c r="C6" s="125">
        <f>'Balance Sheet'!C9</f>
        <v>0</v>
      </c>
      <c r="D6" s="125">
        <f>'Balance Sheet'!D9</f>
        <v>0</v>
      </c>
    </row>
    <row r="7" spans="1:6" ht="14.4" x14ac:dyDescent="0.25">
      <c r="A7" s="124" t="s">
        <v>98</v>
      </c>
      <c r="B7" s="125">
        <f>'Balance Sheet'!B4</f>
        <v>492.69</v>
      </c>
      <c r="C7" s="125">
        <f>'Balance Sheet'!C4</f>
        <v>495.73</v>
      </c>
      <c r="D7" s="125">
        <f>'Balance Sheet'!D4</f>
        <v>498.49</v>
      </c>
    </row>
    <row r="8" spans="1:6" ht="14.4" x14ac:dyDescent="0.25">
      <c r="A8" s="124" t="s">
        <v>138</v>
      </c>
      <c r="B8" s="125">
        <f>'Ratio Analysis'!B7</f>
        <v>24776</v>
      </c>
      <c r="C8" s="125">
        <f>'Ratio Analysis'!C7</f>
        <v>26833</v>
      </c>
      <c r="D8" s="125">
        <f>'Ratio Analysis'!D7</f>
        <v>28712</v>
      </c>
    </row>
    <row r="9" spans="1:6" ht="14.4" x14ac:dyDescent="0.25">
      <c r="A9" s="124" t="s">
        <v>139</v>
      </c>
      <c r="B9" s="126">
        <f>AVERAGE(B18,B4)</f>
        <v>59197.24725</v>
      </c>
      <c r="C9" s="127">
        <f>AVERAGE(B4:C4)</f>
        <v>66164.275000000009</v>
      </c>
      <c r="D9" s="127">
        <f>AVERAGE(C4:D4)</f>
        <v>72565.600000000006</v>
      </c>
    </row>
    <row r="10" spans="1:6" ht="14.4" x14ac:dyDescent="0.25">
      <c r="A10" s="124" t="s">
        <v>140</v>
      </c>
      <c r="B10" s="128">
        <f>B3/B9</f>
        <v>3.2410121908160186E-2</v>
      </c>
      <c r="C10" s="129">
        <f>C3/C9</f>
        <v>3.7910035287169699E-2</v>
      </c>
      <c r="D10" s="129">
        <f>D3/D9</f>
        <v>3.8199091580583627E-2</v>
      </c>
    </row>
    <row r="11" spans="1:6" ht="14.4" x14ac:dyDescent="0.25">
      <c r="A11" s="124" t="s">
        <v>141</v>
      </c>
      <c r="B11" s="124"/>
      <c r="C11" s="127">
        <v>1</v>
      </c>
      <c r="D11" s="127">
        <v>1</v>
      </c>
    </row>
    <row r="12" spans="1:6" ht="14.4" x14ac:dyDescent="0.25">
      <c r="A12" s="124" t="s">
        <v>142</v>
      </c>
      <c r="B12" s="124"/>
      <c r="C12" s="127">
        <v>0</v>
      </c>
      <c r="D12" s="127">
        <v>0</v>
      </c>
    </row>
    <row r="13" spans="1:6" ht="14.4" x14ac:dyDescent="0.25">
      <c r="A13" s="124" t="s">
        <v>143</v>
      </c>
      <c r="B13" s="129">
        <f>B6/B4</f>
        <v>5.5285018755047723E-4</v>
      </c>
      <c r="C13" s="129">
        <f>C6/C4</f>
        <v>0</v>
      </c>
      <c r="D13" s="129">
        <f>D6/D4</f>
        <v>0</v>
      </c>
    </row>
    <row r="14" spans="1:6" ht="14.4" x14ac:dyDescent="0.25">
      <c r="A14" s="124" t="s">
        <v>144</v>
      </c>
      <c r="B14" s="126">
        <f>B8/B9</f>
        <v>0.41853297494335767</v>
      </c>
      <c r="C14" s="129">
        <f>C8/C9</f>
        <v>0.40555118302135096</v>
      </c>
      <c r="D14" s="129">
        <f>D8/D9</f>
        <v>0.39566957346180553</v>
      </c>
    </row>
    <row r="15" spans="1:6" ht="14.4" x14ac:dyDescent="0.25">
      <c r="A15" s="124" t="s">
        <v>145</v>
      </c>
      <c r="B15" s="124" t="s">
        <v>0</v>
      </c>
      <c r="C15" s="127">
        <f>C7-B7</f>
        <v>3.0400000000000205</v>
      </c>
      <c r="D15" s="127">
        <f>D7-C7</f>
        <v>2.7599999999999909</v>
      </c>
    </row>
    <row r="16" spans="1:6" ht="14.4" x14ac:dyDescent="0.25">
      <c r="A16" s="124" t="s">
        <v>146</v>
      </c>
      <c r="B16" s="124" t="s">
        <v>0</v>
      </c>
      <c r="C16" s="129">
        <f>C10-B10</f>
        <v>5.4999133790095134E-3</v>
      </c>
      <c r="D16" s="129">
        <f>D10-C10</f>
        <v>2.8905629341392791E-4</v>
      </c>
    </row>
    <row r="18" spans="1:3" ht="14.4" x14ac:dyDescent="0.3">
      <c r="A18" t="s">
        <v>147</v>
      </c>
      <c r="B18" s="130">
        <v>55086.2045</v>
      </c>
    </row>
    <row r="21" spans="1:3" x14ac:dyDescent="0.25">
      <c r="A21" s="61" t="s">
        <v>148</v>
      </c>
      <c r="B21" s="61" t="s">
        <v>149</v>
      </c>
      <c r="C21" s="61" t="s">
        <v>150</v>
      </c>
    </row>
    <row r="22" spans="1:3" x14ac:dyDescent="0.25">
      <c r="A22" s="131" t="s">
        <v>151</v>
      </c>
      <c r="B22" s="132">
        <f>IF(C10&gt;0,1,0)</f>
        <v>1</v>
      </c>
      <c r="C22" s="132">
        <f>IF(D10&gt;0,1,0)</f>
        <v>1</v>
      </c>
    </row>
    <row r="23" spans="1:3" x14ac:dyDescent="0.25">
      <c r="A23" s="131" t="s">
        <v>152</v>
      </c>
      <c r="B23" s="132">
        <f>IF(C5&gt;0,1,0)</f>
        <v>1</v>
      </c>
      <c r="C23" s="132">
        <f>IF(D5&gt;0,1,0)</f>
        <v>1</v>
      </c>
    </row>
    <row r="24" spans="1:3" x14ac:dyDescent="0.25">
      <c r="A24" s="131" t="s">
        <v>153</v>
      </c>
      <c r="B24" s="132">
        <f>IF(C10&gt;B10,1,0)</f>
        <v>1</v>
      </c>
      <c r="C24" s="132">
        <f>IF(D10&gt;C10,1,0)</f>
        <v>1</v>
      </c>
    </row>
    <row r="25" spans="1:3" x14ac:dyDescent="0.25">
      <c r="A25" s="131" t="s">
        <v>154</v>
      </c>
      <c r="B25" s="132">
        <f>IF(C5&gt;C3,1,0)</f>
        <v>0</v>
      </c>
      <c r="C25" s="132">
        <f>IF(D5&gt;D3,1,0)</f>
        <v>0</v>
      </c>
    </row>
    <row r="26" spans="1:3" x14ac:dyDescent="0.25">
      <c r="A26" s="131" t="s">
        <v>155</v>
      </c>
      <c r="B26" s="132">
        <f>IF(C13&lt;=B13,1,0)</f>
        <v>1</v>
      </c>
      <c r="C26" s="132">
        <f>IF(D13&lt;=C13,1,0)</f>
        <v>1</v>
      </c>
    </row>
    <row r="27" spans="1:3" x14ac:dyDescent="0.25">
      <c r="A27" s="131" t="s">
        <v>156</v>
      </c>
      <c r="B27" s="131" t="s">
        <v>157</v>
      </c>
      <c r="C27" s="131" t="s">
        <v>157</v>
      </c>
    </row>
    <row r="28" spans="1:3" x14ac:dyDescent="0.25">
      <c r="A28" s="131" t="s">
        <v>158</v>
      </c>
      <c r="B28" s="132">
        <f>IF(C7&gt;B7,0,1)</f>
        <v>0</v>
      </c>
      <c r="C28" s="132">
        <f>IF(D7&gt;C7,0,1)</f>
        <v>0</v>
      </c>
    </row>
    <row r="29" spans="1:3" x14ac:dyDescent="0.25">
      <c r="A29" s="131" t="s">
        <v>159</v>
      </c>
      <c r="B29" s="131" t="s">
        <v>157</v>
      </c>
      <c r="C29" s="131" t="s">
        <v>157</v>
      </c>
    </row>
    <row r="30" spans="1:3" x14ac:dyDescent="0.25">
      <c r="A30" s="131" t="s">
        <v>160</v>
      </c>
      <c r="B30" s="132">
        <f>IF(C14&gt;B14,1,0)</f>
        <v>0</v>
      </c>
      <c r="C30" s="132">
        <f>IF(D14&gt;C14,1,0)</f>
        <v>0</v>
      </c>
    </row>
    <row r="31" spans="1:3" x14ac:dyDescent="0.25">
      <c r="A31" s="133" t="s">
        <v>161</v>
      </c>
      <c r="B31" s="134">
        <f>SUM(B22:B30)</f>
        <v>4</v>
      </c>
      <c r="C31" s="134">
        <f>SUM(C22:C30)</f>
        <v>4</v>
      </c>
    </row>
    <row r="32" spans="1:3" x14ac:dyDescent="0.25">
      <c r="A32" s="133" t="s">
        <v>162</v>
      </c>
      <c r="B32" s="134" t="str">
        <f>IF(B34&gt;=8/9,"Strong",IF(B34&gt;=6/9,"Average to Good",IF(B34&gt;=3/9,"Weak, Investigate","Poor, High Risk")))</f>
        <v>Poor, High Risk</v>
      </c>
      <c r="C32" s="134" t="str">
        <f>IF(C34&gt;=8/9,"Strong",IF(C34&gt;=6/9,"Average to Good",IF(C34&gt;=3/9,"Weak, Investigate","Poor, High Risk")))</f>
        <v>Poor, High Risk</v>
      </c>
    </row>
    <row r="33" spans="1:3" x14ac:dyDescent="0.25">
      <c r="A33" s="135"/>
      <c r="B33" s="136"/>
      <c r="C33" s="136"/>
    </row>
    <row r="34" spans="1:3" x14ac:dyDescent="0.25">
      <c r="A34" s="135"/>
      <c r="B34" s="137"/>
      <c r="C34" s="137"/>
    </row>
    <row r="35" spans="1:3" ht="15.6" x14ac:dyDescent="0.3">
      <c r="A35" s="62"/>
    </row>
    <row r="36" spans="1:3" ht="15.6" x14ac:dyDescent="0.3">
      <c r="A36" s="63" t="s">
        <v>163</v>
      </c>
    </row>
    <row r="37" spans="1:3" ht="15.6" x14ac:dyDescent="0.3">
      <c r="A37" s="63" t="s">
        <v>164</v>
      </c>
    </row>
    <row r="38" spans="1:3" ht="15.6" x14ac:dyDescent="0.3">
      <c r="A38" s="63" t="s">
        <v>165</v>
      </c>
    </row>
    <row r="39" spans="1:3" ht="15.6" x14ac:dyDescent="0.3">
      <c r="A39" s="63" t="s">
        <v>166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zoomScaleNormal="100" workbookViewId="0"/>
  </sheetViews>
  <sheetFormatPr defaultColWidth="12.6640625" defaultRowHeight="13.2" x14ac:dyDescent="0.25"/>
  <sheetData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5"/>
  <sheetViews>
    <sheetView zoomScaleNormal="100" workbookViewId="0"/>
  </sheetViews>
  <sheetFormatPr defaultColWidth="12.6640625" defaultRowHeight="13.2" x14ac:dyDescent="0.25"/>
  <sheetData>
    <row r="1" spans="1:1" ht="13.8" x14ac:dyDescent="0.25">
      <c r="A1" s="54" t="s">
        <v>167</v>
      </c>
    </row>
    <row r="2" spans="1:1" ht="13.8" x14ac:dyDescent="0.25">
      <c r="A2" s="54" t="s">
        <v>168</v>
      </c>
    </row>
    <row r="3" spans="1:1" ht="13.8" x14ac:dyDescent="0.25">
      <c r="A3" s="54" t="s">
        <v>169</v>
      </c>
    </row>
    <row r="4" spans="1:1" ht="13.8" x14ac:dyDescent="0.25">
      <c r="A4" s="54" t="s">
        <v>170</v>
      </c>
    </row>
    <row r="5" spans="1:1" ht="13.8" x14ac:dyDescent="0.25">
      <c r="A5" s="54" t="s">
        <v>171</v>
      </c>
    </row>
    <row r="6" spans="1:1" ht="13.8" x14ac:dyDescent="0.25">
      <c r="A6" s="54" t="s">
        <v>172</v>
      </c>
    </row>
    <row r="7" spans="1:1" ht="13.8" x14ac:dyDescent="0.25">
      <c r="A7" s="54" t="s">
        <v>173</v>
      </c>
    </row>
    <row r="8" spans="1:1" ht="13.8" x14ac:dyDescent="0.25">
      <c r="A8" s="54" t="s">
        <v>174</v>
      </c>
    </row>
    <row r="9" spans="1:1" ht="13.8" x14ac:dyDescent="0.25">
      <c r="A9" s="54" t="s">
        <v>175</v>
      </c>
    </row>
    <row r="10" spans="1:1" ht="13.8" x14ac:dyDescent="0.25">
      <c r="A10" s="54" t="s">
        <v>176</v>
      </c>
    </row>
    <row r="11" spans="1:1" ht="13.8" x14ac:dyDescent="0.25">
      <c r="A11" s="54" t="s">
        <v>177</v>
      </c>
    </row>
    <row r="12" spans="1:1" ht="13.8" x14ac:dyDescent="0.25">
      <c r="A12" s="54" t="s">
        <v>178</v>
      </c>
    </row>
    <row r="13" spans="1:1" ht="13.8" x14ac:dyDescent="0.25">
      <c r="A13" s="54" t="s">
        <v>179</v>
      </c>
    </row>
    <row r="14" spans="1:1" ht="13.8" x14ac:dyDescent="0.25">
      <c r="A14" s="54" t="s">
        <v>180</v>
      </c>
    </row>
    <row r="15" spans="1:1" ht="13.8" x14ac:dyDescent="0.25">
      <c r="A15" s="54" t="s">
        <v>181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Monthly Price &amp; Return Data</vt:lpstr>
      <vt:lpstr>ICIC Lombard </vt:lpstr>
      <vt:lpstr>SBI Life </vt:lpstr>
      <vt:lpstr>GIC Re</vt:lpstr>
      <vt:lpstr>Portfolio Analysis</vt:lpstr>
      <vt:lpstr>Profit &amp; Loss Account</vt:lpstr>
      <vt:lpstr>Ratio Analysis</vt:lpstr>
      <vt:lpstr>Balance Sheet</vt:lpstr>
      <vt:lpstr>Cash Flow Summary</vt:lpstr>
      <vt:lpstr>PIOTROSKI-SCORE</vt:lpstr>
      <vt:lpstr>__OpenSolverCache__</vt:lpstr>
      <vt:lpstr>__OpenSolver__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ABRAHAM</cp:lastModifiedBy>
  <cp:revision>0</cp:revision>
  <dcterms:created xsi:type="dcterms:W3CDTF">2026-10-09T14:31:50Z</dcterms:created>
  <dcterms:modified xsi:type="dcterms:W3CDTF">2026-10-09T15:19:00Z</dcterms:modified>
  <dc:language>en-US</dc:language>
</cp:coreProperties>
</file>